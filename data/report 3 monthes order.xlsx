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SALMAN\Downloads\Video\Data_Alanlysis\Power BI\Khaldoon Analysis\Work Files\Complete Data\"/>
    </mc:Choice>
  </mc:AlternateContent>
  <xr:revisionPtr revIDLastSave="0" documentId="13_ncr:1_{41CABBAF-60AC-459C-A8DB-73ABDFFD16E6}" xr6:coauthVersionLast="47" xr6:coauthVersionMax="47" xr10:uidLastSave="{00000000-0000-0000-0000-000000000000}"/>
  <bookViews>
    <workbookView xWindow="-107" yWindow="-107" windowWidth="20847" windowHeight="13110" activeTab="2" xr2:uid="{00000000-000D-0000-FFFF-FFFF00000000}"/>
  </bookViews>
  <sheets>
    <sheet name="first querter before dic " sheetId="11" r:id="rId1"/>
    <sheet name="report 15 DEC TO 14 MAR 2026   " sheetId="8" r:id="rId2"/>
    <sheet name="15 MAR-15 JULY 2026 " sheetId="12" r:id="rId3"/>
    <sheet name="Sheet1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5" i="12" l="1"/>
  <c r="I116" i="12"/>
  <c r="M116" i="12" s="1"/>
  <c r="K115" i="12"/>
  <c r="M115" i="12" s="1"/>
  <c r="K116" i="12"/>
  <c r="N115" i="12"/>
  <c r="N116" i="12"/>
  <c r="Q114" i="12"/>
  <c r="S114" i="12" s="1"/>
  <c r="N114" i="12"/>
  <c r="K114" i="12"/>
  <c r="I114" i="12"/>
  <c r="Q113" i="12"/>
  <c r="S113" i="12" s="1"/>
  <c r="N113" i="12"/>
  <c r="K113" i="12"/>
  <c r="I113" i="12"/>
  <c r="Q112" i="12"/>
  <c r="S112" i="12" s="1"/>
  <c r="N112" i="12"/>
  <c r="K112" i="12"/>
  <c r="I112" i="12"/>
  <c r="Q111" i="12"/>
  <c r="S111" i="12" s="1"/>
  <c r="N111" i="12"/>
  <c r="K111" i="12"/>
  <c r="I111" i="12"/>
  <c r="Q110" i="12"/>
  <c r="S110" i="12" s="1"/>
  <c r="N110" i="12"/>
  <c r="K110" i="12"/>
  <c r="I110" i="12"/>
  <c r="Q109" i="12"/>
  <c r="S109" i="12" s="1"/>
  <c r="N109" i="12"/>
  <c r="K109" i="12"/>
  <c r="I109" i="12"/>
  <c r="Q108" i="12"/>
  <c r="S108" i="12" s="1"/>
  <c r="N108" i="12"/>
  <c r="K108" i="12"/>
  <c r="I108" i="12"/>
  <c r="Q107" i="12"/>
  <c r="S107" i="12" s="1"/>
  <c r="N107" i="12"/>
  <c r="K107" i="12"/>
  <c r="I107" i="12"/>
  <c r="Q106" i="12"/>
  <c r="S106" i="12" s="1"/>
  <c r="N106" i="12"/>
  <c r="K106" i="12"/>
  <c r="I106" i="12"/>
  <c r="Q105" i="12"/>
  <c r="S105" i="12" s="1"/>
  <c r="N105" i="12"/>
  <c r="K105" i="12"/>
  <c r="I105" i="12"/>
  <c r="Q104" i="12"/>
  <c r="S104" i="12" s="1"/>
  <c r="N104" i="12"/>
  <c r="K104" i="12"/>
  <c r="I104" i="12"/>
  <c r="Q103" i="12"/>
  <c r="S103" i="12" s="1"/>
  <c r="N103" i="12"/>
  <c r="K103" i="12"/>
  <c r="I103" i="12"/>
  <c r="Q102" i="12"/>
  <c r="S102" i="12" s="1"/>
  <c r="N102" i="12"/>
  <c r="K102" i="12"/>
  <c r="I102" i="12"/>
  <c r="Q101" i="12"/>
  <c r="S101" i="12" s="1"/>
  <c r="N101" i="12"/>
  <c r="K101" i="12"/>
  <c r="I101" i="12"/>
  <c r="Q100" i="12"/>
  <c r="S100" i="12" s="1"/>
  <c r="N100" i="12"/>
  <c r="K100" i="12"/>
  <c r="I100" i="12"/>
  <c r="M100" i="12" s="1"/>
  <c r="Q99" i="12"/>
  <c r="S99" i="12" s="1"/>
  <c r="N99" i="12"/>
  <c r="K99" i="12"/>
  <c r="I99" i="12"/>
  <c r="Q98" i="12"/>
  <c r="S98" i="12" s="1"/>
  <c r="N98" i="12"/>
  <c r="K98" i="12"/>
  <c r="I98" i="12"/>
  <c r="Q97" i="12"/>
  <c r="S97" i="12" s="1"/>
  <c r="N97" i="12"/>
  <c r="K97" i="12"/>
  <c r="I97" i="12"/>
  <c r="Q96" i="12"/>
  <c r="S96" i="12" s="1"/>
  <c r="N96" i="12"/>
  <c r="K96" i="12"/>
  <c r="I96" i="12"/>
  <c r="Q95" i="12"/>
  <c r="S95" i="12" s="1"/>
  <c r="N95" i="12"/>
  <c r="K95" i="12"/>
  <c r="I95" i="12"/>
  <c r="Q94" i="12"/>
  <c r="S94" i="12" s="1"/>
  <c r="N94" i="12"/>
  <c r="K94" i="12"/>
  <c r="I94" i="12"/>
  <c r="Q93" i="12"/>
  <c r="S93" i="12" s="1"/>
  <c r="N93" i="12"/>
  <c r="K93" i="12"/>
  <c r="I93" i="12"/>
  <c r="Q92" i="12"/>
  <c r="S92" i="12" s="1"/>
  <c r="N92" i="12"/>
  <c r="K92" i="12"/>
  <c r="I92" i="12"/>
  <c r="Q91" i="12"/>
  <c r="S91" i="12" s="1"/>
  <c r="N91" i="12"/>
  <c r="K91" i="12"/>
  <c r="I91" i="12"/>
  <c r="Q90" i="12"/>
  <c r="S90" i="12" s="1"/>
  <c r="N90" i="12"/>
  <c r="K90" i="12"/>
  <c r="I90" i="12"/>
  <c r="Q89" i="12"/>
  <c r="S89" i="12" s="1"/>
  <c r="N89" i="12"/>
  <c r="K89" i="12"/>
  <c r="I89" i="12"/>
  <c r="Q88" i="12"/>
  <c r="S88" i="12" s="1"/>
  <c r="N88" i="12"/>
  <c r="K88" i="12"/>
  <c r="I88" i="12"/>
  <c r="Q87" i="12"/>
  <c r="S87" i="12" s="1"/>
  <c r="N87" i="12"/>
  <c r="K87" i="12"/>
  <c r="I87" i="12"/>
  <c r="Q86" i="12"/>
  <c r="S86" i="12" s="1"/>
  <c r="N86" i="12"/>
  <c r="K86" i="12"/>
  <c r="I86" i="12"/>
  <c r="Q85" i="12"/>
  <c r="S85" i="12" s="1"/>
  <c r="N85" i="12"/>
  <c r="K85" i="12"/>
  <c r="I85" i="12"/>
  <c r="Q84" i="12"/>
  <c r="S84" i="12" s="1"/>
  <c r="N84" i="12"/>
  <c r="K84" i="12"/>
  <c r="I84" i="12"/>
  <c r="Q83" i="12"/>
  <c r="S83" i="12" s="1"/>
  <c r="N83" i="12"/>
  <c r="K83" i="12"/>
  <c r="I83" i="12"/>
  <c r="Q82" i="12"/>
  <c r="S82" i="12" s="1"/>
  <c r="N82" i="12"/>
  <c r="K82" i="12"/>
  <c r="I82" i="12"/>
  <c r="Q81" i="12"/>
  <c r="S81" i="12" s="1"/>
  <c r="N81" i="12"/>
  <c r="K81" i="12"/>
  <c r="I81" i="12"/>
  <c r="Q80" i="12"/>
  <c r="S80" i="12" s="1"/>
  <c r="N80" i="12"/>
  <c r="K80" i="12"/>
  <c r="I80" i="12"/>
  <c r="Q79" i="12"/>
  <c r="S79" i="12" s="1"/>
  <c r="N79" i="12"/>
  <c r="K79" i="12"/>
  <c r="I79" i="12"/>
  <c r="Q78" i="12"/>
  <c r="S78" i="12" s="1"/>
  <c r="N78" i="12"/>
  <c r="K78" i="12"/>
  <c r="I78" i="12"/>
  <c r="Q77" i="12"/>
  <c r="S77" i="12" s="1"/>
  <c r="N77" i="12"/>
  <c r="K77" i="12"/>
  <c r="I77" i="12"/>
  <c r="Q76" i="12"/>
  <c r="S76" i="12" s="1"/>
  <c r="N76" i="12"/>
  <c r="K76" i="12"/>
  <c r="I76" i="12"/>
  <c r="M76" i="12" s="1"/>
  <c r="Q75" i="12"/>
  <c r="S75" i="12" s="1"/>
  <c r="N75" i="12"/>
  <c r="K75" i="12"/>
  <c r="I75" i="12"/>
  <c r="Q74" i="12"/>
  <c r="S74" i="12" s="1"/>
  <c r="N74" i="12"/>
  <c r="K74" i="12"/>
  <c r="I74" i="12"/>
  <c r="Q73" i="12"/>
  <c r="S73" i="12" s="1"/>
  <c r="N73" i="12"/>
  <c r="K73" i="12"/>
  <c r="I73" i="12"/>
  <c r="Q72" i="12"/>
  <c r="S72" i="12" s="1"/>
  <c r="N72" i="12"/>
  <c r="K72" i="12"/>
  <c r="I72" i="12"/>
  <c r="Q71" i="12"/>
  <c r="S71" i="12" s="1"/>
  <c r="N71" i="12"/>
  <c r="K71" i="12"/>
  <c r="I71" i="12"/>
  <c r="Q70" i="12"/>
  <c r="S70" i="12" s="1"/>
  <c r="N70" i="12"/>
  <c r="K70" i="12"/>
  <c r="I70" i="12"/>
  <c r="Q69" i="12"/>
  <c r="S69" i="12" s="1"/>
  <c r="N69" i="12"/>
  <c r="K69" i="12"/>
  <c r="I69" i="12"/>
  <c r="Q68" i="12"/>
  <c r="S68" i="12" s="1"/>
  <c r="N68" i="12"/>
  <c r="K68" i="12"/>
  <c r="I68" i="12"/>
  <c r="Q67" i="12"/>
  <c r="S67" i="12" s="1"/>
  <c r="N67" i="12"/>
  <c r="K67" i="12"/>
  <c r="I67" i="12"/>
  <c r="Q66" i="12"/>
  <c r="S66" i="12" s="1"/>
  <c r="N66" i="12"/>
  <c r="K66" i="12"/>
  <c r="I66" i="12"/>
  <c r="Q65" i="12"/>
  <c r="S65" i="12" s="1"/>
  <c r="N65" i="12"/>
  <c r="K65" i="12"/>
  <c r="I65" i="12"/>
  <c r="Q64" i="12"/>
  <c r="S64" i="12" s="1"/>
  <c r="N64" i="12"/>
  <c r="K64" i="12"/>
  <c r="I64" i="12"/>
  <c r="Q63" i="12"/>
  <c r="S63" i="12" s="1"/>
  <c r="N63" i="12"/>
  <c r="K63" i="12"/>
  <c r="I63" i="12"/>
  <c r="Q62" i="12"/>
  <c r="S62" i="12" s="1"/>
  <c r="N62" i="12"/>
  <c r="K62" i="12"/>
  <c r="I62" i="12"/>
  <c r="Q61" i="12"/>
  <c r="S61" i="12" s="1"/>
  <c r="N61" i="12"/>
  <c r="K61" i="12"/>
  <c r="I61" i="12"/>
  <c r="Q60" i="12"/>
  <c r="S60" i="12" s="1"/>
  <c r="N60" i="12"/>
  <c r="K60" i="12"/>
  <c r="I60" i="12"/>
  <c r="Q59" i="12"/>
  <c r="S59" i="12" s="1"/>
  <c r="N59" i="12"/>
  <c r="K59" i="12"/>
  <c r="I59" i="12"/>
  <c r="Q58" i="12"/>
  <c r="S58" i="12" s="1"/>
  <c r="N58" i="12"/>
  <c r="K58" i="12"/>
  <c r="I58" i="12"/>
  <c r="Q57" i="12"/>
  <c r="S57" i="12" s="1"/>
  <c r="N57" i="12"/>
  <c r="K57" i="12"/>
  <c r="I57" i="12"/>
  <c r="Q56" i="12"/>
  <c r="S56" i="12" s="1"/>
  <c r="N56" i="12"/>
  <c r="K56" i="12"/>
  <c r="I56" i="12"/>
  <c r="Q55" i="12"/>
  <c r="S55" i="12" s="1"/>
  <c r="N55" i="12"/>
  <c r="K55" i="12"/>
  <c r="I55" i="12"/>
  <c r="Q54" i="12"/>
  <c r="S54" i="12" s="1"/>
  <c r="N54" i="12"/>
  <c r="K54" i="12"/>
  <c r="I54" i="12"/>
  <c r="Q53" i="12"/>
  <c r="S53" i="12" s="1"/>
  <c r="N53" i="12"/>
  <c r="K53" i="12"/>
  <c r="I53" i="12"/>
  <c r="Q52" i="12"/>
  <c r="S52" i="12" s="1"/>
  <c r="N52" i="12"/>
  <c r="K52" i="12"/>
  <c r="I52" i="12"/>
  <c r="M52" i="12" s="1"/>
  <c r="Q51" i="12"/>
  <c r="S51" i="12" s="1"/>
  <c r="N51" i="12"/>
  <c r="K51" i="12"/>
  <c r="I51" i="12"/>
  <c r="Q50" i="12"/>
  <c r="S50" i="12" s="1"/>
  <c r="N50" i="12"/>
  <c r="K50" i="12"/>
  <c r="I50" i="12"/>
  <c r="Q49" i="12"/>
  <c r="S49" i="12" s="1"/>
  <c r="N49" i="12"/>
  <c r="K49" i="12"/>
  <c r="I49" i="12"/>
  <c r="Q48" i="12"/>
  <c r="S48" i="12" s="1"/>
  <c r="N48" i="12"/>
  <c r="K48" i="12"/>
  <c r="I48" i="12"/>
  <c r="Q47" i="12"/>
  <c r="S47" i="12" s="1"/>
  <c r="N47" i="12"/>
  <c r="K47" i="12"/>
  <c r="I47" i="12"/>
  <c r="Q46" i="12"/>
  <c r="S46" i="12" s="1"/>
  <c r="N46" i="12"/>
  <c r="K46" i="12"/>
  <c r="I46" i="12"/>
  <c r="Q45" i="12"/>
  <c r="S45" i="12" s="1"/>
  <c r="N45" i="12"/>
  <c r="K45" i="12"/>
  <c r="I45" i="12"/>
  <c r="Q44" i="12"/>
  <c r="S44" i="12" s="1"/>
  <c r="N44" i="12"/>
  <c r="K44" i="12"/>
  <c r="I44" i="12"/>
  <c r="Q43" i="12"/>
  <c r="S43" i="12" s="1"/>
  <c r="N43" i="12"/>
  <c r="K43" i="12"/>
  <c r="I43" i="12"/>
  <c r="Q42" i="12"/>
  <c r="S42" i="12" s="1"/>
  <c r="N42" i="12"/>
  <c r="K42" i="12"/>
  <c r="I42" i="12"/>
  <c r="Q41" i="12"/>
  <c r="S41" i="12" s="1"/>
  <c r="N41" i="12"/>
  <c r="K41" i="12"/>
  <c r="I41" i="12"/>
  <c r="Q40" i="12"/>
  <c r="S40" i="12" s="1"/>
  <c r="N40" i="12"/>
  <c r="K40" i="12"/>
  <c r="I40" i="12"/>
  <c r="Q39" i="12"/>
  <c r="S39" i="12" s="1"/>
  <c r="N39" i="12"/>
  <c r="K39" i="12"/>
  <c r="I39" i="12"/>
  <c r="Q38" i="12"/>
  <c r="S38" i="12" s="1"/>
  <c r="N38" i="12"/>
  <c r="K38" i="12"/>
  <c r="I38" i="12"/>
  <c r="Q37" i="12"/>
  <c r="S37" i="12" s="1"/>
  <c r="N37" i="12"/>
  <c r="K37" i="12"/>
  <c r="I37" i="12"/>
  <c r="Q36" i="12"/>
  <c r="S36" i="12" s="1"/>
  <c r="N36" i="12"/>
  <c r="K36" i="12"/>
  <c r="I36" i="12"/>
  <c r="Q35" i="12"/>
  <c r="S35" i="12" s="1"/>
  <c r="N35" i="12"/>
  <c r="K35" i="12"/>
  <c r="I35" i="12"/>
  <c r="Q34" i="12"/>
  <c r="S34" i="12" s="1"/>
  <c r="N34" i="12"/>
  <c r="K34" i="12"/>
  <c r="I34" i="12"/>
  <c r="Q33" i="12"/>
  <c r="S33" i="12" s="1"/>
  <c r="N33" i="12"/>
  <c r="K33" i="12"/>
  <c r="I33" i="12"/>
  <c r="Q32" i="12"/>
  <c r="S32" i="12" s="1"/>
  <c r="N32" i="12"/>
  <c r="K32" i="12"/>
  <c r="I32" i="12"/>
  <c r="Q31" i="12"/>
  <c r="S31" i="12" s="1"/>
  <c r="N31" i="12"/>
  <c r="K31" i="12"/>
  <c r="I31" i="12"/>
  <c r="Q30" i="12"/>
  <c r="S30" i="12" s="1"/>
  <c r="N30" i="12"/>
  <c r="K30" i="12"/>
  <c r="I30" i="12"/>
  <c r="Q29" i="12"/>
  <c r="S29" i="12" s="1"/>
  <c r="N29" i="12"/>
  <c r="K29" i="12"/>
  <c r="I29" i="12"/>
  <c r="Q28" i="12"/>
  <c r="S28" i="12" s="1"/>
  <c r="N28" i="12"/>
  <c r="K28" i="12"/>
  <c r="I28" i="12"/>
  <c r="M28" i="12" s="1"/>
  <c r="Q27" i="12"/>
  <c r="S27" i="12" s="1"/>
  <c r="N27" i="12"/>
  <c r="K27" i="12"/>
  <c r="I27" i="12"/>
  <c r="Q26" i="12"/>
  <c r="S26" i="12" s="1"/>
  <c r="N26" i="12"/>
  <c r="K26" i="12"/>
  <c r="I26" i="12"/>
  <c r="Q25" i="12"/>
  <c r="S25" i="12" s="1"/>
  <c r="N25" i="12"/>
  <c r="K25" i="12"/>
  <c r="I25" i="12"/>
  <c r="Q24" i="12"/>
  <c r="S24" i="12" s="1"/>
  <c r="N24" i="12"/>
  <c r="K24" i="12"/>
  <c r="I24" i="12"/>
  <c r="Q23" i="12"/>
  <c r="S23" i="12" s="1"/>
  <c r="N23" i="12"/>
  <c r="K23" i="12"/>
  <c r="I23" i="12"/>
  <c r="Q22" i="12"/>
  <c r="S22" i="12" s="1"/>
  <c r="N22" i="12"/>
  <c r="K22" i="12"/>
  <c r="I22" i="12"/>
  <c r="Q21" i="12"/>
  <c r="S21" i="12" s="1"/>
  <c r="N21" i="12"/>
  <c r="K21" i="12"/>
  <c r="I21" i="12"/>
  <c r="Q20" i="12"/>
  <c r="S20" i="12" s="1"/>
  <c r="N20" i="12"/>
  <c r="K20" i="12"/>
  <c r="I20" i="12"/>
  <c r="M20" i="12" s="1"/>
  <c r="Q19" i="12"/>
  <c r="S19" i="12" s="1"/>
  <c r="N19" i="12"/>
  <c r="K19" i="12"/>
  <c r="I19" i="12"/>
  <c r="Q18" i="12"/>
  <c r="S18" i="12" s="1"/>
  <c r="N18" i="12"/>
  <c r="K18" i="12"/>
  <c r="I18" i="12"/>
  <c r="Q17" i="12"/>
  <c r="S17" i="12" s="1"/>
  <c r="N17" i="12"/>
  <c r="K17" i="12"/>
  <c r="I17" i="12"/>
  <c r="Q16" i="12"/>
  <c r="S16" i="12" s="1"/>
  <c r="N16" i="12"/>
  <c r="K16" i="12"/>
  <c r="I16" i="12"/>
  <c r="Q15" i="12"/>
  <c r="S15" i="12" s="1"/>
  <c r="N15" i="12"/>
  <c r="K15" i="12"/>
  <c r="I15" i="12"/>
  <c r="Q14" i="12"/>
  <c r="S14" i="12" s="1"/>
  <c r="N14" i="12"/>
  <c r="K14" i="12"/>
  <c r="I14" i="12"/>
  <c r="Q13" i="12"/>
  <c r="S13" i="12" s="1"/>
  <c r="N13" i="12"/>
  <c r="K13" i="12"/>
  <c r="I13" i="12"/>
  <c r="Q12" i="12"/>
  <c r="S12" i="12" s="1"/>
  <c r="N12" i="12"/>
  <c r="K12" i="12"/>
  <c r="I12" i="12"/>
  <c r="Q11" i="12"/>
  <c r="S11" i="12" s="1"/>
  <c r="N11" i="12"/>
  <c r="K11" i="12"/>
  <c r="I11" i="12"/>
  <c r="Q10" i="12"/>
  <c r="S10" i="12" s="1"/>
  <c r="N10" i="12"/>
  <c r="K10" i="12"/>
  <c r="I10" i="12"/>
  <c r="Q9" i="12"/>
  <c r="S9" i="12" s="1"/>
  <c r="N9" i="12"/>
  <c r="K9" i="12"/>
  <c r="I9" i="12"/>
  <c r="Q8" i="12"/>
  <c r="S8" i="12" s="1"/>
  <c r="N8" i="12"/>
  <c r="K8" i="12"/>
  <c r="I8" i="12"/>
  <c r="M8" i="12" s="1"/>
  <c r="Q7" i="12"/>
  <c r="S7" i="12" s="1"/>
  <c r="N7" i="12"/>
  <c r="K7" i="12"/>
  <c r="I7" i="12"/>
  <c r="Q6" i="12"/>
  <c r="S6" i="12" s="1"/>
  <c r="N6" i="12"/>
  <c r="K6" i="12"/>
  <c r="I6" i="12"/>
  <c r="Q5" i="12"/>
  <c r="S5" i="12" s="1"/>
  <c r="N5" i="12"/>
  <c r="K5" i="12"/>
  <c r="I5" i="12"/>
  <c r="Q4" i="12"/>
  <c r="S4" i="12" s="1"/>
  <c r="N4" i="12"/>
  <c r="K4" i="12"/>
  <c r="I4" i="12"/>
  <c r="Q3" i="12"/>
  <c r="S3" i="12" s="1"/>
  <c r="N3" i="12"/>
  <c r="K3" i="12"/>
  <c r="I3" i="12"/>
  <c r="Q2" i="12"/>
  <c r="S2" i="12" s="1"/>
  <c r="N2" i="12"/>
  <c r="K2" i="12"/>
  <c r="I2" i="12"/>
  <c r="S2" i="8"/>
  <c r="K111" i="8"/>
  <c r="S22" i="8"/>
  <c r="S23" i="8"/>
  <c r="S24" i="8"/>
  <c r="S25" i="8"/>
  <c r="S38" i="8"/>
  <c r="S39" i="8"/>
  <c r="S40" i="8"/>
  <c r="S41" i="8"/>
  <c r="S54" i="8"/>
  <c r="S56" i="8"/>
  <c r="S57" i="8"/>
  <c r="S58" i="8"/>
  <c r="S59" i="8"/>
  <c r="S70" i="8"/>
  <c r="S71" i="8"/>
  <c r="S72" i="8"/>
  <c r="S73" i="8"/>
  <c r="S74" i="8"/>
  <c r="S75" i="8"/>
  <c r="S86" i="8"/>
  <c r="S88" i="8"/>
  <c r="S89" i="8"/>
  <c r="S90" i="8"/>
  <c r="S91" i="8"/>
  <c r="S92" i="8"/>
  <c r="S93" i="8"/>
  <c r="S94" i="8"/>
  <c r="S96" i="8"/>
  <c r="S102" i="8"/>
  <c r="S103" i="8"/>
  <c r="S104" i="8"/>
  <c r="S105" i="8"/>
  <c r="S106" i="8"/>
  <c r="S107" i="8"/>
  <c r="S108" i="8"/>
  <c r="S109" i="8"/>
  <c r="S110" i="8"/>
  <c r="S112" i="8"/>
  <c r="S113" i="8"/>
  <c r="I8" i="11"/>
  <c r="I2" i="11"/>
  <c r="N114" i="11"/>
  <c r="K114" i="11"/>
  <c r="I114" i="11"/>
  <c r="M114" i="11" s="1"/>
  <c r="N113" i="11"/>
  <c r="K113" i="11"/>
  <c r="I113" i="11"/>
  <c r="N112" i="11"/>
  <c r="K112" i="11"/>
  <c r="I112" i="11"/>
  <c r="N111" i="11"/>
  <c r="K111" i="11"/>
  <c r="I111" i="11"/>
  <c r="N110" i="11"/>
  <c r="K110" i="11"/>
  <c r="I110" i="11"/>
  <c r="N109" i="11"/>
  <c r="K109" i="11"/>
  <c r="I109" i="11"/>
  <c r="N108" i="11"/>
  <c r="K108" i="11"/>
  <c r="I108" i="11"/>
  <c r="N107" i="11"/>
  <c r="K107" i="11"/>
  <c r="I107" i="11"/>
  <c r="N106" i="11"/>
  <c r="K106" i="11"/>
  <c r="I106" i="11"/>
  <c r="N105" i="11"/>
  <c r="K105" i="11"/>
  <c r="I105" i="11"/>
  <c r="N104" i="11"/>
  <c r="K104" i="11"/>
  <c r="I104" i="11"/>
  <c r="N103" i="11"/>
  <c r="K103" i="11"/>
  <c r="I103" i="11"/>
  <c r="N102" i="11"/>
  <c r="K102" i="11"/>
  <c r="I102" i="11"/>
  <c r="M102" i="11" s="1"/>
  <c r="N101" i="11"/>
  <c r="K101" i="11"/>
  <c r="I101" i="11"/>
  <c r="N100" i="11"/>
  <c r="K100" i="11"/>
  <c r="I100" i="11"/>
  <c r="N99" i="11"/>
  <c r="K99" i="11"/>
  <c r="I99" i="11"/>
  <c r="M99" i="11" s="1"/>
  <c r="N98" i="11"/>
  <c r="K98" i="11"/>
  <c r="I98" i="11"/>
  <c r="N97" i="11"/>
  <c r="K97" i="11"/>
  <c r="I97" i="11"/>
  <c r="N96" i="11"/>
  <c r="K96" i="11"/>
  <c r="I96" i="11"/>
  <c r="M96" i="11" s="1"/>
  <c r="N95" i="11"/>
  <c r="K95" i="11"/>
  <c r="I95" i="11"/>
  <c r="M95" i="11" s="1"/>
  <c r="N94" i="11"/>
  <c r="K94" i="11"/>
  <c r="I94" i="11"/>
  <c r="N93" i="11"/>
  <c r="K93" i="11"/>
  <c r="I93" i="11"/>
  <c r="N92" i="11"/>
  <c r="K92" i="11"/>
  <c r="I92" i="11"/>
  <c r="M92" i="11" s="1"/>
  <c r="N91" i="11"/>
  <c r="K91" i="11"/>
  <c r="I91" i="11"/>
  <c r="N90" i="11"/>
  <c r="K90" i="11"/>
  <c r="I90" i="11"/>
  <c r="N89" i="11"/>
  <c r="K89" i="11"/>
  <c r="I89" i="11"/>
  <c r="M89" i="11" s="1"/>
  <c r="N88" i="11"/>
  <c r="K88" i="11"/>
  <c r="I88" i="11"/>
  <c r="N87" i="11"/>
  <c r="K87" i="11"/>
  <c r="I87" i="11"/>
  <c r="N86" i="11"/>
  <c r="K86" i="11"/>
  <c r="I86" i="11"/>
  <c r="N85" i="11"/>
  <c r="K85" i="11"/>
  <c r="I85" i="11"/>
  <c r="N84" i="11"/>
  <c r="K84" i="11"/>
  <c r="I84" i="11"/>
  <c r="N83" i="11"/>
  <c r="K83" i="11"/>
  <c r="I83" i="11"/>
  <c r="N82" i="11"/>
  <c r="K82" i="11"/>
  <c r="I82" i="11"/>
  <c r="N81" i="11"/>
  <c r="K81" i="11"/>
  <c r="I81" i="11"/>
  <c r="M81" i="11" s="1"/>
  <c r="N80" i="11"/>
  <c r="K80" i="11"/>
  <c r="I80" i="11"/>
  <c r="M80" i="11" s="1"/>
  <c r="N79" i="11"/>
  <c r="K79" i="11"/>
  <c r="I79" i="11"/>
  <c r="N78" i="11"/>
  <c r="K78" i="11"/>
  <c r="I78" i="11"/>
  <c r="N77" i="11"/>
  <c r="K77" i="11"/>
  <c r="I77" i="11"/>
  <c r="M77" i="11" s="1"/>
  <c r="N76" i="11"/>
  <c r="K76" i="11"/>
  <c r="I76" i="11"/>
  <c r="N75" i="11"/>
  <c r="K75" i="11"/>
  <c r="I75" i="11"/>
  <c r="N74" i="11"/>
  <c r="K74" i="11"/>
  <c r="I74" i="11"/>
  <c r="N73" i="11"/>
  <c r="K73" i="11"/>
  <c r="I73" i="11"/>
  <c r="N72" i="11"/>
  <c r="K72" i="11"/>
  <c r="I72" i="11"/>
  <c r="N71" i="11"/>
  <c r="K71" i="11"/>
  <c r="I71" i="11"/>
  <c r="N70" i="11"/>
  <c r="K70" i="11"/>
  <c r="I70" i="11"/>
  <c r="N69" i="11"/>
  <c r="K69" i="11"/>
  <c r="I69" i="11"/>
  <c r="N68" i="11"/>
  <c r="K68" i="11"/>
  <c r="I68" i="11"/>
  <c r="N67" i="11"/>
  <c r="K67" i="11"/>
  <c r="I67" i="11"/>
  <c r="N66" i="11"/>
  <c r="K66" i="11"/>
  <c r="I66" i="11"/>
  <c r="N65" i="11"/>
  <c r="K65" i="11"/>
  <c r="I65" i="11"/>
  <c r="M65" i="11" s="1"/>
  <c r="N64" i="11"/>
  <c r="K64" i="11"/>
  <c r="I64" i="11"/>
  <c r="N63" i="11"/>
  <c r="K63" i="11"/>
  <c r="I63" i="11"/>
  <c r="N62" i="11"/>
  <c r="K62" i="11"/>
  <c r="I62" i="11"/>
  <c r="N61" i="11"/>
  <c r="K61" i="11"/>
  <c r="I61" i="11"/>
  <c r="N60" i="11"/>
  <c r="K60" i="11"/>
  <c r="I60" i="11"/>
  <c r="N59" i="11"/>
  <c r="K59" i="11"/>
  <c r="I59" i="11"/>
  <c r="N58" i="11"/>
  <c r="K58" i="11"/>
  <c r="I58" i="11"/>
  <c r="N57" i="11"/>
  <c r="K57" i="11"/>
  <c r="I57" i="11"/>
  <c r="M57" i="11" s="1"/>
  <c r="N56" i="11"/>
  <c r="K56" i="11"/>
  <c r="I56" i="11"/>
  <c r="M56" i="11" s="1"/>
  <c r="N55" i="11"/>
  <c r="K55" i="11"/>
  <c r="I55" i="11"/>
  <c r="N54" i="11"/>
  <c r="K54" i="11"/>
  <c r="I54" i="11"/>
  <c r="M54" i="11" s="1"/>
  <c r="N53" i="11"/>
  <c r="K53" i="11"/>
  <c r="I53" i="11"/>
  <c r="N52" i="11"/>
  <c r="K52" i="11"/>
  <c r="I52" i="11"/>
  <c r="N51" i="11"/>
  <c r="K51" i="11"/>
  <c r="I51" i="11"/>
  <c r="N50" i="11"/>
  <c r="K50" i="11"/>
  <c r="I50" i="11"/>
  <c r="N49" i="11"/>
  <c r="K49" i="11"/>
  <c r="I49" i="11"/>
  <c r="N48" i="11"/>
  <c r="K48" i="11"/>
  <c r="I48" i="11"/>
  <c r="M48" i="11" s="1"/>
  <c r="N47" i="11"/>
  <c r="K47" i="11"/>
  <c r="I47" i="11"/>
  <c r="N46" i="11"/>
  <c r="K46" i="11"/>
  <c r="I46" i="11"/>
  <c r="N45" i="11"/>
  <c r="K45" i="11"/>
  <c r="I45" i="11"/>
  <c r="N44" i="11"/>
  <c r="K44" i="11"/>
  <c r="I44" i="11"/>
  <c r="N43" i="11"/>
  <c r="K43" i="11"/>
  <c r="I43" i="11"/>
  <c r="N42" i="11"/>
  <c r="K42" i="11"/>
  <c r="I42" i="11"/>
  <c r="N41" i="11"/>
  <c r="K41" i="11"/>
  <c r="I41" i="11"/>
  <c r="N40" i="11"/>
  <c r="K40" i="11"/>
  <c r="I40" i="11"/>
  <c r="N39" i="11"/>
  <c r="K39" i="11"/>
  <c r="I39" i="11"/>
  <c r="N38" i="11"/>
  <c r="K38" i="11"/>
  <c r="I38" i="11"/>
  <c r="N37" i="11"/>
  <c r="K37" i="11"/>
  <c r="I37" i="11"/>
  <c r="N36" i="11"/>
  <c r="K36" i="11"/>
  <c r="I36" i="11"/>
  <c r="N35" i="11"/>
  <c r="K35" i="11"/>
  <c r="I35" i="11"/>
  <c r="N34" i="11"/>
  <c r="K34" i="11"/>
  <c r="I34" i="11"/>
  <c r="N33" i="11"/>
  <c r="K33" i="11"/>
  <c r="I33" i="11"/>
  <c r="M33" i="11" s="1"/>
  <c r="N32" i="11"/>
  <c r="K32" i="11"/>
  <c r="I32" i="11"/>
  <c r="M32" i="11" s="1"/>
  <c r="N31" i="11"/>
  <c r="K31" i="11"/>
  <c r="I31" i="11"/>
  <c r="N30" i="11"/>
  <c r="K30" i="11"/>
  <c r="I30" i="11"/>
  <c r="N29" i="11"/>
  <c r="K29" i="11"/>
  <c r="I29" i="11"/>
  <c r="N28" i="11"/>
  <c r="K28" i="11"/>
  <c r="I28" i="11"/>
  <c r="M28" i="11" s="1"/>
  <c r="N27" i="11"/>
  <c r="K27" i="11"/>
  <c r="I27" i="11"/>
  <c r="N26" i="11"/>
  <c r="K26" i="11"/>
  <c r="I26" i="11"/>
  <c r="N25" i="11"/>
  <c r="K25" i="11"/>
  <c r="I25" i="11"/>
  <c r="N24" i="11"/>
  <c r="K24" i="11"/>
  <c r="I24" i="11"/>
  <c r="N23" i="11"/>
  <c r="K23" i="11"/>
  <c r="I23" i="11"/>
  <c r="N22" i="11"/>
  <c r="K22" i="11"/>
  <c r="I22" i="11"/>
  <c r="M22" i="11" s="1"/>
  <c r="N21" i="11"/>
  <c r="K21" i="11"/>
  <c r="I21" i="11"/>
  <c r="N20" i="11"/>
  <c r="K20" i="11"/>
  <c r="I20" i="11"/>
  <c r="N19" i="11"/>
  <c r="K19" i="11"/>
  <c r="I19" i="11"/>
  <c r="N18" i="11"/>
  <c r="K18" i="11"/>
  <c r="I18" i="11"/>
  <c r="N17" i="11"/>
  <c r="K17" i="11"/>
  <c r="I17" i="11"/>
  <c r="N16" i="11"/>
  <c r="K16" i="11"/>
  <c r="I16" i="11"/>
  <c r="N15" i="11"/>
  <c r="K15" i="11"/>
  <c r="I15" i="11"/>
  <c r="N14" i="11"/>
  <c r="K14" i="11"/>
  <c r="I14" i="11"/>
  <c r="N13" i="11"/>
  <c r="K13" i="11"/>
  <c r="I13" i="11"/>
  <c r="N12" i="11"/>
  <c r="K12" i="11"/>
  <c r="I12" i="11"/>
  <c r="M12" i="11" s="1"/>
  <c r="N11" i="11"/>
  <c r="K11" i="11"/>
  <c r="I11" i="11"/>
  <c r="N10" i="11"/>
  <c r="K10" i="11"/>
  <c r="I10" i="11"/>
  <c r="N9" i="11"/>
  <c r="K9" i="11"/>
  <c r="I9" i="11"/>
  <c r="M9" i="11" s="1"/>
  <c r="N8" i="11"/>
  <c r="K8" i="11"/>
  <c r="M8" i="11"/>
  <c r="N7" i="11"/>
  <c r="K7" i="11"/>
  <c r="I7" i="11"/>
  <c r="N6" i="11"/>
  <c r="K6" i="11"/>
  <c r="I6" i="11"/>
  <c r="M6" i="11" s="1"/>
  <c r="N5" i="11"/>
  <c r="K5" i="11"/>
  <c r="I5" i="11"/>
  <c r="N4" i="11"/>
  <c r="K4" i="11"/>
  <c r="I4" i="11"/>
  <c r="N3" i="11"/>
  <c r="K3" i="11"/>
  <c r="I3" i="11"/>
  <c r="N2" i="11"/>
  <c r="K2" i="11"/>
  <c r="Q10" i="8"/>
  <c r="S10" i="8" s="1"/>
  <c r="Q11" i="8"/>
  <c r="S11" i="8" s="1"/>
  <c r="Q12" i="8"/>
  <c r="S12" i="8" s="1"/>
  <c r="Q13" i="8"/>
  <c r="S13" i="8" s="1"/>
  <c r="Q14" i="8"/>
  <c r="S14" i="8" s="1"/>
  <c r="Q15" i="8"/>
  <c r="S15" i="8" s="1"/>
  <c r="Q16" i="8"/>
  <c r="S16" i="8" s="1"/>
  <c r="Q17" i="8"/>
  <c r="S17" i="8" s="1"/>
  <c r="Q18" i="8"/>
  <c r="S18" i="8" s="1"/>
  <c r="Q19" i="8"/>
  <c r="S19" i="8" s="1"/>
  <c r="Q20" i="8"/>
  <c r="S20" i="8" s="1"/>
  <c r="Q21" i="8"/>
  <c r="S21" i="8" s="1"/>
  <c r="Q22" i="8"/>
  <c r="Q23" i="8"/>
  <c r="Q24" i="8"/>
  <c r="Q25" i="8"/>
  <c r="Q26" i="8"/>
  <c r="S26" i="8" s="1"/>
  <c r="Q27" i="8"/>
  <c r="S27" i="8" s="1"/>
  <c r="Q28" i="8"/>
  <c r="S28" i="8" s="1"/>
  <c r="Q29" i="8"/>
  <c r="S29" i="8" s="1"/>
  <c r="Q30" i="8"/>
  <c r="S30" i="8" s="1"/>
  <c r="Q31" i="8"/>
  <c r="S31" i="8" s="1"/>
  <c r="Q32" i="8"/>
  <c r="S32" i="8" s="1"/>
  <c r="Q33" i="8"/>
  <c r="S33" i="8" s="1"/>
  <c r="Q34" i="8"/>
  <c r="S34" i="8" s="1"/>
  <c r="Q35" i="8"/>
  <c r="S35" i="8" s="1"/>
  <c r="Q36" i="8"/>
  <c r="S36" i="8" s="1"/>
  <c r="Q37" i="8"/>
  <c r="S37" i="8" s="1"/>
  <c r="Q38" i="8"/>
  <c r="Q39" i="8"/>
  <c r="Q40" i="8"/>
  <c r="Q41" i="8"/>
  <c r="Q42" i="8"/>
  <c r="S42" i="8" s="1"/>
  <c r="Q43" i="8"/>
  <c r="S43" i="8" s="1"/>
  <c r="Q44" i="8"/>
  <c r="S44" i="8" s="1"/>
  <c r="Q45" i="8"/>
  <c r="S45" i="8" s="1"/>
  <c r="Q46" i="8"/>
  <c r="S46" i="8" s="1"/>
  <c r="Q47" i="8"/>
  <c r="S47" i="8" s="1"/>
  <c r="Q48" i="8"/>
  <c r="S48" i="8" s="1"/>
  <c r="Q49" i="8"/>
  <c r="S49" i="8" s="1"/>
  <c r="Q50" i="8"/>
  <c r="S50" i="8" s="1"/>
  <c r="Q51" i="8"/>
  <c r="S51" i="8" s="1"/>
  <c r="Q52" i="8"/>
  <c r="S52" i="8" s="1"/>
  <c r="Q53" i="8"/>
  <c r="S53" i="8" s="1"/>
  <c r="Q54" i="8"/>
  <c r="Q55" i="8"/>
  <c r="S55" i="8" s="1"/>
  <c r="Q56" i="8"/>
  <c r="Q57" i="8"/>
  <c r="Q58" i="8"/>
  <c r="Q59" i="8"/>
  <c r="Q60" i="8"/>
  <c r="S60" i="8" s="1"/>
  <c r="Q61" i="8"/>
  <c r="S61" i="8" s="1"/>
  <c r="Q62" i="8"/>
  <c r="S62" i="8" s="1"/>
  <c r="Q63" i="8"/>
  <c r="S63" i="8" s="1"/>
  <c r="Q64" i="8"/>
  <c r="S64" i="8" s="1"/>
  <c r="Q65" i="8"/>
  <c r="S65" i="8" s="1"/>
  <c r="Q66" i="8"/>
  <c r="S66" i="8" s="1"/>
  <c r="Q67" i="8"/>
  <c r="S67" i="8" s="1"/>
  <c r="Q68" i="8"/>
  <c r="S68" i="8" s="1"/>
  <c r="Q69" i="8"/>
  <c r="S69" i="8" s="1"/>
  <c r="Q70" i="8"/>
  <c r="Q71" i="8"/>
  <c r="Q72" i="8"/>
  <c r="Q73" i="8"/>
  <c r="Q74" i="8"/>
  <c r="Q75" i="8"/>
  <c r="Q76" i="8"/>
  <c r="S76" i="8" s="1"/>
  <c r="Q77" i="8"/>
  <c r="S77" i="8" s="1"/>
  <c r="Q78" i="8"/>
  <c r="S78" i="8" s="1"/>
  <c r="Q79" i="8"/>
  <c r="S79" i="8" s="1"/>
  <c r="Q80" i="8"/>
  <c r="S80" i="8" s="1"/>
  <c r="Q81" i="8"/>
  <c r="S81" i="8" s="1"/>
  <c r="Q82" i="8"/>
  <c r="S82" i="8" s="1"/>
  <c r="Q83" i="8"/>
  <c r="S83" i="8" s="1"/>
  <c r="Q84" i="8"/>
  <c r="S84" i="8" s="1"/>
  <c r="Q85" i="8"/>
  <c r="S85" i="8" s="1"/>
  <c r="Q86" i="8"/>
  <c r="Q87" i="8"/>
  <c r="S87" i="8" s="1"/>
  <c r="Q88" i="8"/>
  <c r="Q89" i="8"/>
  <c r="Q90" i="8"/>
  <c r="Q91" i="8"/>
  <c r="Q92" i="8"/>
  <c r="Q93" i="8"/>
  <c r="Q94" i="8"/>
  <c r="Q95" i="8"/>
  <c r="S95" i="8" s="1"/>
  <c r="Q96" i="8"/>
  <c r="Q97" i="8"/>
  <c r="S97" i="8" s="1"/>
  <c r="Q98" i="8"/>
  <c r="S98" i="8" s="1"/>
  <c r="Q99" i="8"/>
  <c r="S99" i="8" s="1"/>
  <c r="Q100" i="8"/>
  <c r="S100" i="8" s="1"/>
  <c r="Q101" i="8"/>
  <c r="S101" i="8" s="1"/>
  <c r="Q102" i="8"/>
  <c r="Q103" i="8"/>
  <c r="Q104" i="8"/>
  <c r="Q105" i="8"/>
  <c r="Q106" i="8"/>
  <c r="Q107" i="8"/>
  <c r="Q108" i="8"/>
  <c r="Q109" i="8"/>
  <c r="Q110" i="8"/>
  <c r="Q111" i="8"/>
  <c r="S111" i="8" s="1"/>
  <c r="Q112" i="8"/>
  <c r="Q113" i="8"/>
  <c r="Q114" i="8"/>
  <c r="S114" i="8" s="1"/>
  <c r="Q3" i="8"/>
  <c r="S3" i="8" s="1"/>
  <c r="Q4" i="8"/>
  <c r="S4" i="8" s="1"/>
  <c r="Q5" i="8"/>
  <c r="S5" i="8" s="1"/>
  <c r="Q6" i="8"/>
  <c r="S6" i="8" s="1"/>
  <c r="Q7" i="8"/>
  <c r="S7" i="8" s="1"/>
  <c r="Q8" i="8"/>
  <c r="S8" i="8" s="1"/>
  <c r="Q9" i="8"/>
  <c r="S9" i="8" s="1"/>
  <c r="Q2" i="8"/>
  <c r="K92" i="8"/>
  <c r="N114" i="8"/>
  <c r="K114" i="8"/>
  <c r="I114" i="8"/>
  <c r="N113" i="8"/>
  <c r="K113" i="8"/>
  <c r="I113" i="8"/>
  <c r="N112" i="8"/>
  <c r="K112" i="8"/>
  <c r="I112" i="8"/>
  <c r="N111" i="8"/>
  <c r="I111" i="8"/>
  <c r="N110" i="8"/>
  <c r="K110" i="8"/>
  <c r="I110" i="8"/>
  <c r="N109" i="8"/>
  <c r="K109" i="8"/>
  <c r="I109" i="8"/>
  <c r="N108" i="8"/>
  <c r="K108" i="8"/>
  <c r="I108" i="8"/>
  <c r="N107" i="8"/>
  <c r="K107" i="8"/>
  <c r="I107" i="8"/>
  <c r="N106" i="8"/>
  <c r="K106" i="8"/>
  <c r="I106" i="8"/>
  <c r="N105" i="8"/>
  <c r="K105" i="8"/>
  <c r="I105" i="8"/>
  <c r="N104" i="8"/>
  <c r="K104" i="8"/>
  <c r="I104" i="8"/>
  <c r="N103" i="8"/>
  <c r="K103" i="8"/>
  <c r="I103" i="8"/>
  <c r="N102" i="8"/>
  <c r="K102" i="8"/>
  <c r="I102" i="8"/>
  <c r="M102" i="8" s="1"/>
  <c r="N101" i="8"/>
  <c r="K101" i="8"/>
  <c r="I101" i="8"/>
  <c r="N100" i="8"/>
  <c r="K100" i="8"/>
  <c r="I100" i="8"/>
  <c r="N99" i="8"/>
  <c r="K99" i="8"/>
  <c r="I99" i="8"/>
  <c r="N98" i="8"/>
  <c r="K98" i="8"/>
  <c r="I98" i="8"/>
  <c r="N97" i="8"/>
  <c r="K97" i="8"/>
  <c r="I97" i="8"/>
  <c r="N96" i="8"/>
  <c r="K96" i="8"/>
  <c r="I96" i="8"/>
  <c r="N95" i="8"/>
  <c r="K95" i="8"/>
  <c r="I95" i="8"/>
  <c r="N94" i="8"/>
  <c r="K94" i="8"/>
  <c r="I94" i="8"/>
  <c r="N93" i="8"/>
  <c r="K93" i="8"/>
  <c r="I93" i="8"/>
  <c r="N92" i="8"/>
  <c r="I92" i="8"/>
  <c r="N91" i="8"/>
  <c r="K91" i="8"/>
  <c r="I91" i="8"/>
  <c r="N90" i="8"/>
  <c r="K90" i="8"/>
  <c r="I90" i="8"/>
  <c r="N89" i="8"/>
  <c r="K89" i="8"/>
  <c r="I89" i="8"/>
  <c r="N88" i="8"/>
  <c r="K88" i="8"/>
  <c r="I88" i="8"/>
  <c r="N87" i="8"/>
  <c r="K87" i="8"/>
  <c r="I87" i="8"/>
  <c r="N86" i="8"/>
  <c r="K86" i="8"/>
  <c r="I86" i="8"/>
  <c r="N85" i="8"/>
  <c r="K85" i="8"/>
  <c r="I85" i="8"/>
  <c r="N84" i="8"/>
  <c r="K84" i="8"/>
  <c r="I84" i="8"/>
  <c r="N83" i="8"/>
  <c r="K83" i="8"/>
  <c r="I83" i="8"/>
  <c r="N82" i="8"/>
  <c r="K82" i="8"/>
  <c r="I82" i="8"/>
  <c r="N81" i="8"/>
  <c r="K81" i="8"/>
  <c r="I81" i="8"/>
  <c r="N80" i="8"/>
  <c r="K80" i="8"/>
  <c r="I80" i="8"/>
  <c r="N79" i="8"/>
  <c r="K79" i="8"/>
  <c r="I79" i="8"/>
  <c r="N78" i="8"/>
  <c r="K78" i="8"/>
  <c r="I78" i="8"/>
  <c r="N77" i="8"/>
  <c r="K77" i="8"/>
  <c r="I77" i="8"/>
  <c r="N76" i="8"/>
  <c r="K76" i="8"/>
  <c r="I76" i="8"/>
  <c r="N75" i="8"/>
  <c r="K75" i="8"/>
  <c r="I75" i="8"/>
  <c r="N74" i="8"/>
  <c r="K74" i="8"/>
  <c r="I74" i="8"/>
  <c r="N73" i="8"/>
  <c r="K73" i="8"/>
  <c r="I73" i="8"/>
  <c r="N72" i="8"/>
  <c r="K72" i="8"/>
  <c r="I72" i="8"/>
  <c r="N71" i="8"/>
  <c r="K71" i="8"/>
  <c r="I71" i="8"/>
  <c r="N70" i="8"/>
  <c r="K70" i="8"/>
  <c r="I70" i="8"/>
  <c r="N69" i="8"/>
  <c r="K69" i="8"/>
  <c r="I69" i="8"/>
  <c r="N68" i="8"/>
  <c r="K68" i="8"/>
  <c r="I68" i="8"/>
  <c r="N67" i="8"/>
  <c r="K67" i="8"/>
  <c r="I67" i="8"/>
  <c r="N66" i="8"/>
  <c r="K66" i="8"/>
  <c r="I66" i="8"/>
  <c r="N65" i="8"/>
  <c r="K65" i="8"/>
  <c r="I65" i="8"/>
  <c r="N64" i="8"/>
  <c r="K64" i="8"/>
  <c r="I64" i="8"/>
  <c r="N63" i="8"/>
  <c r="K63" i="8"/>
  <c r="I63" i="8"/>
  <c r="N62" i="8"/>
  <c r="K62" i="8"/>
  <c r="I62" i="8"/>
  <c r="N61" i="8"/>
  <c r="K61" i="8"/>
  <c r="I61" i="8"/>
  <c r="N60" i="8"/>
  <c r="K60" i="8"/>
  <c r="I60" i="8"/>
  <c r="N59" i="8"/>
  <c r="K59" i="8"/>
  <c r="I59" i="8"/>
  <c r="N58" i="8"/>
  <c r="K58" i="8"/>
  <c r="I58" i="8"/>
  <c r="N57" i="8"/>
  <c r="K57" i="8"/>
  <c r="I57" i="8"/>
  <c r="N56" i="8"/>
  <c r="K56" i="8"/>
  <c r="I56" i="8"/>
  <c r="N55" i="8"/>
  <c r="K55" i="8"/>
  <c r="I55" i="8"/>
  <c r="N54" i="8"/>
  <c r="K54" i="8"/>
  <c r="I54" i="8"/>
  <c r="N53" i="8"/>
  <c r="K53" i="8"/>
  <c r="I53" i="8"/>
  <c r="N52" i="8"/>
  <c r="K52" i="8"/>
  <c r="I52" i="8"/>
  <c r="N51" i="8"/>
  <c r="K51" i="8"/>
  <c r="I51" i="8"/>
  <c r="N50" i="8"/>
  <c r="K50" i="8"/>
  <c r="I50" i="8"/>
  <c r="N49" i="8"/>
  <c r="K49" i="8"/>
  <c r="I49" i="8"/>
  <c r="N48" i="8"/>
  <c r="K48" i="8"/>
  <c r="I48" i="8"/>
  <c r="M48" i="8" s="1"/>
  <c r="N47" i="8"/>
  <c r="K47" i="8"/>
  <c r="I47" i="8"/>
  <c r="N46" i="8"/>
  <c r="K46" i="8"/>
  <c r="I46" i="8"/>
  <c r="N45" i="8"/>
  <c r="K45" i="8"/>
  <c r="I45" i="8"/>
  <c r="N44" i="8"/>
  <c r="K44" i="8"/>
  <c r="I44" i="8"/>
  <c r="M44" i="8" s="1"/>
  <c r="N43" i="8"/>
  <c r="K43" i="8"/>
  <c r="I43" i="8"/>
  <c r="N42" i="8"/>
  <c r="K42" i="8"/>
  <c r="I42" i="8"/>
  <c r="N41" i="8"/>
  <c r="K41" i="8"/>
  <c r="I41" i="8"/>
  <c r="N40" i="8"/>
  <c r="K40" i="8"/>
  <c r="I40" i="8"/>
  <c r="N39" i="8"/>
  <c r="K39" i="8"/>
  <c r="I39" i="8"/>
  <c r="N38" i="8"/>
  <c r="K38" i="8"/>
  <c r="I38" i="8"/>
  <c r="N37" i="8"/>
  <c r="K37" i="8"/>
  <c r="I37" i="8"/>
  <c r="N36" i="8"/>
  <c r="K36" i="8"/>
  <c r="I36" i="8"/>
  <c r="N35" i="8"/>
  <c r="K35" i="8"/>
  <c r="I35" i="8"/>
  <c r="N34" i="8"/>
  <c r="K34" i="8"/>
  <c r="I34" i="8"/>
  <c r="N33" i="8"/>
  <c r="K33" i="8"/>
  <c r="I33" i="8"/>
  <c r="N32" i="8"/>
  <c r="K32" i="8"/>
  <c r="I32" i="8"/>
  <c r="M32" i="8" s="1"/>
  <c r="N31" i="8"/>
  <c r="K31" i="8"/>
  <c r="I31" i="8"/>
  <c r="N30" i="8"/>
  <c r="K30" i="8"/>
  <c r="I30" i="8"/>
  <c r="N29" i="8"/>
  <c r="K29" i="8"/>
  <c r="I29" i="8"/>
  <c r="N28" i="8"/>
  <c r="K28" i="8"/>
  <c r="I28" i="8"/>
  <c r="M28" i="8" s="1"/>
  <c r="N27" i="8"/>
  <c r="K27" i="8"/>
  <c r="I27" i="8"/>
  <c r="N26" i="8"/>
  <c r="K26" i="8"/>
  <c r="I26" i="8"/>
  <c r="N25" i="8"/>
  <c r="K25" i="8"/>
  <c r="I25" i="8"/>
  <c r="N24" i="8"/>
  <c r="K24" i="8"/>
  <c r="I24" i="8"/>
  <c r="N23" i="8"/>
  <c r="K23" i="8"/>
  <c r="I23" i="8"/>
  <c r="N22" i="8"/>
  <c r="K22" i="8"/>
  <c r="I22" i="8"/>
  <c r="N21" i="8"/>
  <c r="K21" i="8"/>
  <c r="I21" i="8"/>
  <c r="N20" i="8"/>
  <c r="K20" i="8"/>
  <c r="I20" i="8"/>
  <c r="N19" i="8"/>
  <c r="K19" i="8"/>
  <c r="I19" i="8"/>
  <c r="N18" i="8"/>
  <c r="K18" i="8"/>
  <c r="I18" i="8"/>
  <c r="N17" i="8"/>
  <c r="K17" i="8"/>
  <c r="I17" i="8"/>
  <c r="N16" i="8"/>
  <c r="K16" i="8"/>
  <c r="I16" i="8"/>
  <c r="M16" i="8" s="1"/>
  <c r="N15" i="8"/>
  <c r="K15" i="8"/>
  <c r="I15" i="8"/>
  <c r="N14" i="8"/>
  <c r="K14" i="8"/>
  <c r="I14" i="8"/>
  <c r="N13" i="8"/>
  <c r="K13" i="8"/>
  <c r="I13" i="8"/>
  <c r="N12" i="8"/>
  <c r="K12" i="8"/>
  <c r="I12" i="8"/>
  <c r="N11" i="8"/>
  <c r="K11" i="8"/>
  <c r="I11" i="8"/>
  <c r="N10" i="8"/>
  <c r="K10" i="8"/>
  <c r="I10" i="8"/>
  <c r="N9" i="8"/>
  <c r="K9" i="8"/>
  <c r="I9" i="8"/>
  <c r="N8" i="8"/>
  <c r="K8" i="8"/>
  <c r="I8" i="8"/>
  <c r="M8" i="8" s="1"/>
  <c r="N7" i="8"/>
  <c r="K7" i="8"/>
  <c r="I7" i="8"/>
  <c r="N6" i="8"/>
  <c r="K6" i="8"/>
  <c r="I6" i="8"/>
  <c r="N5" i="8"/>
  <c r="K5" i="8"/>
  <c r="I5" i="8"/>
  <c r="N4" i="8"/>
  <c r="K4" i="8"/>
  <c r="I4" i="8"/>
  <c r="N3" i="8"/>
  <c r="K3" i="8"/>
  <c r="I3" i="8"/>
  <c r="N2" i="8"/>
  <c r="K2" i="8"/>
  <c r="I2" i="8"/>
  <c r="M45" i="11" l="1"/>
  <c r="M93" i="11"/>
  <c r="M72" i="11"/>
  <c r="M69" i="11"/>
  <c r="M22" i="12"/>
  <c r="M34" i="12"/>
  <c r="M46" i="12"/>
  <c r="M82" i="12"/>
  <c r="M94" i="12"/>
  <c r="M106" i="12"/>
  <c r="M11" i="12"/>
  <c r="M31" i="12"/>
  <c r="M43" i="12"/>
  <c r="M55" i="12"/>
  <c r="M79" i="12"/>
  <c r="M91" i="12"/>
  <c r="M103" i="12"/>
  <c r="M5" i="12"/>
  <c r="M17" i="12"/>
  <c r="M25" i="12"/>
  <c r="M37" i="12"/>
  <c r="M49" i="12"/>
  <c r="M61" i="12"/>
  <c r="M85" i="12"/>
  <c r="M97" i="12"/>
  <c r="M109" i="12"/>
  <c r="M52" i="8"/>
  <c r="M36" i="11"/>
  <c r="M84" i="11"/>
  <c r="M26" i="11"/>
  <c r="M87" i="11"/>
  <c r="M30" i="11"/>
  <c r="M110" i="11"/>
  <c r="M73" i="12"/>
  <c r="M70" i="12"/>
  <c r="M67" i="12"/>
  <c r="M58" i="12"/>
  <c r="M14" i="12"/>
  <c r="M110" i="8"/>
  <c r="M7" i="12"/>
  <c r="M10" i="12"/>
  <c r="M13" i="12"/>
  <c r="M3" i="12"/>
  <c r="M6" i="12"/>
  <c r="M9" i="12"/>
  <c r="M12" i="12"/>
  <c r="M15" i="12"/>
  <c r="M18" i="12"/>
  <c r="M21" i="12"/>
  <c r="M27" i="12"/>
  <c r="M30" i="12"/>
  <c r="M33" i="12"/>
  <c r="M36" i="12"/>
  <c r="M39" i="12"/>
  <c r="M42" i="12"/>
  <c r="M45" i="12"/>
  <c r="M51" i="12"/>
  <c r="M54" i="12"/>
  <c r="M57" i="12"/>
  <c r="M60" i="12"/>
  <c r="M63" i="12"/>
  <c r="M66" i="12"/>
  <c r="M69" i="12"/>
  <c r="M75" i="12"/>
  <c r="M78" i="12"/>
  <c r="M81" i="12"/>
  <c r="M84" i="12"/>
  <c r="M87" i="12"/>
  <c r="M90" i="12"/>
  <c r="M93" i="12"/>
  <c r="M99" i="12"/>
  <c r="M102" i="12"/>
  <c r="M105" i="12"/>
  <c r="M108" i="12"/>
  <c r="M111" i="12"/>
  <c r="M114" i="12"/>
  <c r="M4" i="12"/>
  <c r="M19" i="12"/>
  <c r="I117" i="12"/>
  <c r="N117" i="12"/>
  <c r="M23" i="12"/>
  <c r="M26" i="12"/>
  <c r="M29" i="12"/>
  <c r="M35" i="12"/>
  <c r="M38" i="12"/>
  <c r="M41" i="12"/>
  <c r="M44" i="12"/>
  <c r="M47" i="12"/>
  <c r="M50" i="12"/>
  <c r="M53" i="12"/>
  <c r="M59" i="12"/>
  <c r="M62" i="12"/>
  <c r="M65" i="12"/>
  <c r="M68" i="12"/>
  <c r="M71" i="12"/>
  <c r="M74" i="12"/>
  <c r="M77" i="12"/>
  <c r="M83" i="12"/>
  <c r="M86" i="12"/>
  <c r="M89" i="12"/>
  <c r="M92" i="12"/>
  <c r="M95" i="12"/>
  <c r="M98" i="12"/>
  <c r="M101" i="12"/>
  <c r="M107" i="12"/>
  <c r="M110" i="12"/>
  <c r="M113" i="12"/>
  <c r="K117" i="12"/>
  <c r="M16" i="12"/>
  <c r="M24" i="12"/>
  <c r="M2" i="12"/>
  <c r="M32" i="12"/>
  <c r="M40" i="12"/>
  <c r="M48" i="12"/>
  <c r="M56" i="12"/>
  <c r="M64" i="12"/>
  <c r="M72" i="12"/>
  <c r="M80" i="12"/>
  <c r="M88" i="12"/>
  <c r="M96" i="12"/>
  <c r="M104" i="12"/>
  <c r="M112" i="12"/>
  <c r="M107" i="11"/>
  <c r="M101" i="11"/>
  <c r="M83" i="11"/>
  <c r="M68" i="11"/>
  <c r="M29" i="11"/>
  <c r="M39" i="11"/>
  <c r="M75" i="11"/>
  <c r="M71" i="11"/>
  <c r="M63" i="11"/>
  <c r="M60" i="11"/>
  <c r="M59" i="11"/>
  <c r="M51" i="11"/>
  <c r="M27" i="11"/>
  <c r="M23" i="11"/>
  <c r="M19" i="11"/>
  <c r="M11" i="11"/>
  <c r="M7" i="11"/>
  <c r="M3" i="11"/>
  <c r="M16" i="11"/>
  <c r="M13" i="11"/>
  <c r="M43" i="11"/>
  <c r="M46" i="11"/>
  <c r="M49" i="11"/>
  <c r="M55" i="11"/>
  <c r="M61" i="11"/>
  <c r="M64" i="11"/>
  <c r="M67" i="11"/>
  <c r="M73" i="11"/>
  <c r="M76" i="11"/>
  <c r="M79" i="11"/>
  <c r="M85" i="11"/>
  <c r="M88" i="11"/>
  <c r="M91" i="11"/>
  <c r="M97" i="11"/>
  <c r="M106" i="11"/>
  <c r="M24" i="11"/>
  <c r="M17" i="11"/>
  <c r="M31" i="11"/>
  <c r="M34" i="11"/>
  <c r="M37" i="11"/>
  <c r="M10" i="11"/>
  <c r="M98" i="11"/>
  <c r="M42" i="11"/>
  <c r="M18" i="11"/>
  <c r="M21" i="11"/>
  <c r="M38" i="11"/>
  <c r="M41" i="11"/>
  <c r="M44" i="11"/>
  <c r="M109" i="11"/>
  <c r="M4" i="11"/>
  <c r="M14" i="11"/>
  <c r="M47" i="11"/>
  <c r="M52" i="11"/>
  <c r="M105" i="11"/>
  <c r="M113" i="11"/>
  <c r="M2" i="11"/>
  <c r="M35" i="11"/>
  <c r="M40" i="11"/>
  <c r="M50" i="11"/>
  <c r="M103" i="11"/>
  <c r="M111" i="11"/>
  <c r="M5" i="11"/>
  <c r="M15" i="11"/>
  <c r="M20" i="11"/>
  <c r="M25" i="11"/>
  <c r="M53" i="11"/>
  <c r="K115" i="11"/>
  <c r="M100" i="11"/>
  <c r="M58" i="11"/>
  <c r="M66" i="11"/>
  <c r="M74" i="11"/>
  <c r="M82" i="11"/>
  <c r="M90" i="11"/>
  <c r="M108" i="11"/>
  <c r="I115" i="11"/>
  <c r="N115" i="11"/>
  <c r="M62" i="11"/>
  <c r="M70" i="11"/>
  <c r="M78" i="11"/>
  <c r="M86" i="11"/>
  <c r="M94" i="11"/>
  <c r="M104" i="11"/>
  <c r="M112" i="11"/>
  <c r="M45" i="8"/>
  <c r="M49" i="8"/>
  <c r="M101" i="8"/>
  <c r="M103" i="8"/>
  <c r="M64" i="8"/>
  <c r="M111" i="8"/>
  <c r="M10" i="8"/>
  <c r="M14" i="8"/>
  <c r="M26" i="8"/>
  <c r="M34" i="8"/>
  <c r="M46" i="8"/>
  <c r="M58" i="8"/>
  <c r="M66" i="8"/>
  <c r="M70" i="8"/>
  <c r="M113" i="8"/>
  <c r="M78" i="8"/>
  <c r="M92" i="8"/>
  <c r="M87" i="8"/>
  <c r="M56" i="8"/>
  <c r="M91" i="8"/>
  <c r="M94" i="8"/>
  <c r="M7" i="8"/>
  <c r="M11" i="8"/>
  <c r="M19" i="8"/>
  <c r="M23" i="8"/>
  <c r="M27" i="8"/>
  <c r="M31" i="8"/>
  <c r="M35" i="8"/>
  <c r="M43" i="8"/>
  <c r="M51" i="8"/>
  <c r="M67" i="8"/>
  <c r="M95" i="8"/>
  <c r="M80" i="8"/>
  <c r="M84" i="8"/>
  <c r="M50" i="8"/>
  <c r="M62" i="8"/>
  <c r="M3" i="8"/>
  <c r="M105" i="8"/>
  <c r="M47" i="8"/>
  <c r="N115" i="8"/>
  <c r="M98" i="8"/>
  <c r="M53" i="8"/>
  <c r="M65" i="8"/>
  <c r="M96" i="8"/>
  <c r="M42" i="8"/>
  <c r="M88" i="8"/>
  <c r="M112" i="8"/>
  <c r="M74" i="8"/>
  <c r="M93" i="8"/>
  <c r="M85" i="8"/>
  <c r="M59" i="8"/>
  <c r="M71" i="8"/>
  <c r="M83" i="8"/>
  <c r="M106" i="8"/>
  <c r="M114" i="8"/>
  <c r="M57" i="8"/>
  <c r="M69" i="8"/>
  <c r="M76" i="8"/>
  <c r="M100" i="8"/>
  <c r="M30" i="8"/>
  <c r="M108" i="8"/>
  <c r="M54" i="8"/>
  <c r="M77" i="8"/>
  <c r="M97" i="8"/>
  <c r="M39" i="8"/>
  <c r="M82" i="8"/>
  <c r="M109" i="8"/>
  <c r="M63" i="8"/>
  <c r="M75" i="8"/>
  <c r="M90" i="8"/>
  <c r="M5" i="8"/>
  <c r="M9" i="8"/>
  <c r="M13" i="8"/>
  <c r="M17" i="8"/>
  <c r="M25" i="8"/>
  <c r="M29" i="8"/>
  <c r="M37" i="8"/>
  <c r="M41" i="8"/>
  <c r="M60" i="8"/>
  <c r="M68" i="8"/>
  <c r="M72" i="8"/>
  <c r="M79" i="8"/>
  <c r="M99" i="8"/>
  <c r="M107" i="8"/>
  <c r="M36" i="8"/>
  <c r="M33" i="8"/>
  <c r="M24" i="8"/>
  <c r="M21" i="8"/>
  <c r="M18" i="8"/>
  <c r="M15" i="8"/>
  <c r="M12" i="8"/>
  <c r="I115" i="8"/>
  <c r="M6" i="8"/>
  <c r="M86" i="8"/>
  <c r="M81" i="8"/>
  <c r="M55" i="8"/>
  <c r="M4" i="8"/>
  <c r="M22" i="8"/>
  <c r="M40" i="8"/>
  <c r="M73" i="8"/>
  <c r="M104" i="8"/>
  <c r="K115" i="8"/>
  <c r="M2" i="8"/>
  <c r="M20" i="8"/>
  <c r="M38" i="8"/>
  <c r="M61" i="8"/>
  <c r="M89" i="8"/>
  <c r="M117" i="12" l="1"/>
  <c r="M115" i="11"/>
  <c r="M115" i="8"/>
</calcChain>
</file>

<file path=xl/sharedStrings.xml><?xml version="1.0" encoding="utf-8"?>
<sst xmlns="http://schemas.openxmlformats.org/spreadsheetml/2006/main" count="1053" uniqueCount="139">
  <si>
    <t xml:space="preserve">no </t>
  </si>
  <si>
    <t>unit</t>
  </si>
  <si>
    <t>Category</t>
  </si>
  <si>
    <t>Opening Stock</t>
  </si>
  <si>
    <t xml:space="preserve">withdrawls villa </t>
  </si>
  <si>
    <t xml:space="preserve">cost villa </t>
  </si>
  <si>
    <t xml:space="preserve">withdrawls IBN </t>
  </si>
  <si>
    <t xml:space="preserve">IBN cost </t>
  </si>
  <si>
    <t xml:space="preserve">cost by unit </t>
  </si>
  <si>
    <t xml:space="preserve">total cost of stocks </t>
  </si>
  <si>
    <t xml:space="preserve">totall cost of needed stck </t>
  </si>
  <si>
    <t>PCS</t>
  </si>
  <si>
    <t>F&amp;B</t>
  </si>
  <si>
    <t>coffee bean_three coffee_packs 1*1KG brazil sorocabana</t>
  </si>
  <si>
    <t>KG</t>
  </si>
  <si>
    <t xml:space="preserve">avantcha matcha ceremonial grade - yame 100 g </t>
  </si>
  <si>
    <t>BOXES</t>
  </si>
  <si>
    <t xml:space="preserve">(Black tea) avantcha organic english breakfast 100 bio-silk teabags 300 grams </t>
  </si>
  <si>
    <t xml:space="preserve">avantcha organic spring mao feng 100 bio-silk teabags 300g </t>
  </si>
  <si>
    <t xml:space="preserve">moroccan mint 100 bio-silk teabags 250 grams </t>
  </si>
  <si>
    <t>jasmine mao jian 100 bio-silk teabags 250 grams</t>
  </si>
  <si>
    <t xml:space="preserve">organic chamomile cooler 100 bio-silk teabags 250 grams </t>
  </si>
  <si>
    <t>organic hibiscus flowes 1 kg</t>
  </si>
  <si>
    <t>alpro almond milk barista professional 1 LTR</t>
  </si>
  <si>
    <t xml:space="preserve">PCS </t>
  </si>
  <si>
    <t>alpro coconut milk barista for professional 1 LTR</t>
  </si>
  <si>
    <t>alpro ota milk barista for professional gluten free 1 LTR</t>
  </si>
  <si>
    <t xml:space="preserve">nestle sweetened condensed milk pistachio bottle 12*450grams </t>
  </si>
  <si>
    <t xml:space="preserve">CARTONS </t>
  </si>
  <si>
    <t xml:space="preserve">almarai fresh milk full fat plain </t>
  </si>
  <si>
    <t xml:space="preserve">BOTTLES </t>
  </si>
  <si>
    <t xml:space="preserve">wild mint syrup malaysia, 100 cl/bot 6 bot / box monin </t>
  </si>
  <si>
    <t xml:space="preserve">strawberry syrup(malaysia) monin </t>
  </si>
  <si>
    <t xml:space="preserve">blue lagoon syrup(malaysia) monin </t>
  </si>
  <si>
    <t xml:space="preserve">Cloudy lemonade syrup malysia, 100 cll/bot </t>
  </si>
  <si>
    <t xml:space="preserve">passion fruit mix(malaysia)monin </t>
  </si>
  <si>
    <t>peach syrup (malaysia)monin</t>
  </si>
  <si>
    <t>blue berry fruit mix(malaysia)monin</t>
  </si>
  <si>
    <t xml:space="preserve">vanilla syrup(malaysia) monin </t>
  </si>
  <si>
    <t xml:space="preserve">caramel syrup(malaysia)monin </t>
  </si>
  <si>
    <t>hazelnut syrup(malaysa)monin</t>
  </si>
  <si>
    <t xml:space="preserve">cinnamon syrup (malaysia)mionin </t>
  </si>
  <si>
    <t xml:space="preserve">caramel sauce </t>
  </si>
  <si>
    <t xml:space="preserve">dark chocolate sauce(malaysia)monin </t>
  </si>
  <si>
    <t xml:space="preserve">classic pure  honey 250 grams </t>
  </si>
  <si>
    <t>schweppes soda can ( soda water )</t>
  </si>
  <si>
    <t>chocolate powder</t>
  </si>
  <si>
    <t>Green Cardmon</t>
  </si>
  <si>
    <t>Whole cloves</t>
  </si>
  <si>
    <t>Sugar</t>
  </si>
  <si>
    <t>cinamon powder</t>
  </si>
  <si>
    <t>Coffee Stirrer Hot Pack 14cm</t>
  </si>
  <si>
    <t>packts</t>
  </si>
  <si>
    <t>V60 filter paper</t>
  </si>
  <si>
    <t xml:space="preserve">lemon 0.95- 1 kg </t>
  </si>
  <si>
    <t xml:space="preserve">LIME GREEN SEEDLESS 0.95- KG </t>
  </si>
  <si>
    <t>MINT LEAVES PREMIUM 70-80 G</t>
  </si>
  <si>
    <t>NESCAFE ORIGINAL TASTE</t>
  </si>
  <si>
    <t>LIPTON GREEN TEA</t>
  </si>
  <si>
    <t>LIPTON BLACK TEA</t>
  </si>
  <si>
    <t xml:space="preserve">PISTACHIO SAUCE 450 GM </t>
  </si>
  <si>
    <t xml:space="preserve">perrier sparkling water </t>
  </si>
  <si>
    <t>STROW COLOERD 6MM 20*500</t>
  </si>
  <si>
    <t xml:space="preserve"> Plastic, printing, cleaning </t>
  </si>
  <si>
    <t>PAPER CUPS</t>
  </si>
  <si>
    <t>DISPOSABLE PLATE</t>
  </si>
  <si>
    <t>DISPOSABLE SPOON</t>
  </si>
  <si>
    <t>DISPOSABLE FORK</t>
  </si>
  <si>
    <t>DISHWASHING LIQUID</t>
  </si>
  <si>
    <t>DISHWASHER TABS</t>
  </si>
  <si>
    <t>DISHWASHING SPONGE FOAM</t>
  </si>
  <si>
    <t>HAND SOAP</t>
  </si>
  <si>
    <t>HAND SANITIZER</t>
  </si>
  <si>
    <t>COFFEE STIRRER</t>
  </si>
  <si>
    <t>FACE MASK</t>
  </si>
  <si>
    <t xml:space="preserve">SUGAR SACHET BROWN </t>
  </si>
  <si>
    <t xml:space="preserve">SUGAR SACHET WHITE </t>
  </si>
  <si>
    <t xml:space="preserve">SUGAR SACHET DAITE </t>
  </si>
  <si>
    <t>EVAPORATED MILK</t>
  </si>
  <si>
    <t>MICROFIBRE DUSTER CLOTHS</t>
  </si>
  <si>
    <t xml:space="preserve">TISSUE FIACIAEL </t>
  </si>
  <si>
    <t>MAXI ROLL TISSUED</t>
  </si>
  <si>
    <t>TOILET TISSUE PAPER</t>
  </si>
  <si>
    <t>BROOM</t>
  </si>
  <si>
    <t>WINDOW CLEANER SPRAY</t>
  </si>
  <si>
    <t>WINDOW WIPER</t>
  </si>
  <si>
    <t>GARBAGE BAGS BLACK</t>
  </si>
  <si>
    <t>GARBAGE BAGS WHITE</t>
  </si>
  <si>
    <t xml:space="preserve">FURNITURE POLISH SPRAY </t>
  </si>
  <si>
    <t>CLOROX</t>
  </si>
  <si>
    <t xml:space="preserve">TOILET CLEANER </t>
  </si>
  <si>
    <t>VINYL HAND GLOVES</t>
  </si>
  <si>
    <t>MOP</t>
  </si>
  <si>
    <t>FLOOR CLEANER</t>
  </si>
  <si>
    <t>CLEANING WIPES</t>
  </si>
  <si>
    <t xml:space="preserve">paper cup 8oz Duball wall  with lid </t>
  </si>
  <si>
    <t xml:space="preserve">paper cup 6.5oz Duball wall  with lid </t>
  </si>
  <si>
    <t xml:space="preserve">paper cup 4oz Duball wall  with lid </t>
  </si>
  <si>
    <t xml:space="preserve">frosted plastic cup with lid 12oz printing 1 color </t>
  </si>
  <si>
    <t>SPRAY MOP PADS</t>
  </si>
  <si>
    <t xml:space="preserve">acqua panna </t>
  </si>
  <si>
    <t xml:space="preserve">reef water </t>
  </si>
  <si>
    <t>PENCIL</t>
  </si>
  <si>
    <t xml:space="preserve">stationeries </t>
  </si>
  <si>
    <t>PENCIL SHARPENER</t>
  </si>
  <si>
    <t>ERASER</t>
  </si>
  <si>
    <t>PEN HOLDER/ORGANIZER</t>
  </si>
  <si>
    <t>STAPLER</t>
  </si>
  <si>
    <t>STAPLE WIRES</t>
  </si>
  <si>
    <t>STAPLE WIRE REMOVER</t>
  </si>
  <si>
    <t>CALCULATORS</t>
  </si>
  <si>
    <t>PERMANENT MARKER</t>
  </si>
  <si>
    <t>FILE FOLDER</t>
  </si>
  <si>
    <t>FILE FOLDER ORGANIZER</t>
  </si>
  <si>
    <t>BOX FILE</t>
  </si>
  <si>
    <t>WHITE BOARD MARKER</t>
  </si>
  <si>
    <t>RUBBER BAND</t>
  </si>
  <si>
    <t>STICKY NOTES</t>
  </si>
  <si>
    <t>TISSUE CUBE BOX</t>
  </si>
  <si>
    <t xml:space="preserve">DOCUMENT TRAY </t>
  </si>
  <si>
    <t>HIGHLIGHTER</t>
  </si>
  <si>
    <t>DELI PAPER CLIP 30mm</t>
  </si>
  <si>
    <t>LETTER ENVELOPE</t>
  </si>
  <si>
    <t>CORRECTION TAPE</t>
  </si>
  <si>
    <t>STAPLE WIRE</t>
  </si>
  <si>
    <t>SIGN HERE TABS STICKER</t>
  </si>
  <si>
    <t>3 STORAGE MULTI-FUNCTIONAL DESK ORGANIZER</t>
  </si>
  <si>
    <t>HI-TECHPOINT ROLLER BALL PEN BX-V5</t>
  </si>
  <si>
    <t>HI-TECHPOINT ROLLER BALL PEN BX-V6</t>
  </si>
  <si>
    <t xml:space="preserve">DOUBLE A BATTERY </t>
  </si>
  <si>
    <t xml:space="preserve">triple  A BATTERY </t>
  </si>
  <si>
    <t>BOND PAPERS    - DOUBLE A BRAND a4</t>
  </si>
  <si>
    <t>DISINFECTING WIPES</t>
  </si>
  <si>
    <t xml:space="preserve"> EXTENSION WIRE</t>
  </si>
  <si>
    <t>Pcs</t>
  </si>
  <si>
    <t xml:space="preserve">3 monthes  ORDER </t>
  </si>
  <si>
    <t>.</t>
  </si>
  <si>
    <t xml:space="preserve">OPENING STOCK 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</si>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</sst>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&quot;AED&quot;* #,##0.00_-;\-&quot;AED&quot;* #,##0.00_-;_-&quot;AED&quot;* &quot;-&quot;??_-;_-@_-"/>
    <numFmt numFmtId="165" formatCode="_-* #,##0.00_-;\-* #,##0.00_-;_-* &quot;-&quot;??_-;_-@_-"/>
    <numFmt numFmtId="166" formatCode="dd\/mm\/yy"/>
    <numFmt numFmtId="167" formatCode="&quot;AED&quot;#,##0"/>
    <numFmt numFmtId="168" formatCode="_-[$AED-4C09]* #,##0.00_-;\-[$AED-4C09]* #,##0.00_-;_-[$AED-4C09]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</font>
    <font>
      <b/>
      <sz val="14"/>
      <color theme="1"/>
      <name val="Aptos Narrow"/>
      <family val="2"/>
    </font>
    <font>
      <b/>
      <sz val="12"/>
      <color theme="1"/>
      <name val="Aptos Narrow"/>
      <family val="2"/>
    </font>
    <font>
      <b/>
      <sz val="11"/>
      <color rgb="FF000000"/>
      <name val="Aptos Narrow"/>
      <family val="2"/>
    </font>
    <font>
      <b/>
      <sz val="10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6"/>
      <color theme="0"/>
      <name val="Calibri"/>
      <family val="2"/>
      <scheme val="minor"/>
    </font>
    <font>
      <b/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AF2D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rgb="FFDAF2D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2" borderId="0" xfId="0" applyFont="1" applyFill="1"/>
    <xf numFmtId="166" fontId="2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5" fontId="2" fillId="3" borderId="1" xfId="3" applyFont="1" applyFill="1" applyBorder="1" applyAlignment="1">
      <alignment horizontal="center" vertical="center"/>
    </xf>
    <xf numFmtId="164" fontId="2" fillId="3" borderId="1" xfId="3" applyNumberFormat="1" applyFont="1" applyFill="1" applyBorder="1" applyAlignment="1">
      <alignment horizontal="center" vertical="center"/>
    </xf>
    <xf numFmtId="165" fontId="2" fillId="3" borderId="0" xfId="3" applyFont="1" applyFill="1" applyAlignment="1">
      <alignment horizontal="center" vertical="center"/>
    </xf>
    <xf numFmtId="165" fontId="2" fillId="3" borderId="0" xfId="3" applyFont="1" applyFill="1"/>
    <xf numFmtId="166" fontId="2" fillId="3" borderId="2" xfId="0" applyNumberFormat="1" applyFont="1" applyFill="1" applyBorder="1" applyAlignment="1">
      <alignment horizontal="center" vertical="center"/>
    </xf>
    <xf numFmtId="167" fontId="3" fillId="3" borderId="2" xfId="1" applyNumberFormat="1" applyFont="1" applyFill="1" applyBorder="1" applyAlignment="1">
      <alignment horizontal="center" vertical="center" wrapText="1"/>
    </xf>
    <xf numFmtId="167" fontId="3" fillId="3" borderId="1" xfId="1" applyNumberFormat="1" applyFont="1" applyFill="1" applyBorder="1" applyAlignment="1">
      <alignment horizontal="center" vertical="center"/>
    </xf>
    <xf numFmtId="165" fontId="2" fillId="3" borderId="1" xfId="1" applyFont="1" applyFill="1" applyBorder="1" applyAlignment="1">
      <alignment horizontal="center" vertical="center"/>
    </xf>
    <xf numFmtId="165" fontId="2" fillId="3" borderId="3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8" fontId="6" fillId="4" borderId="1" xfId="0" applyNumberFormat="1" applyFont="1" applyFill="1" applyBorder="1" applyAlignment="1">
      <alignment horizontal="center" vertical="center"/>
    </xf>
    <xf numFmtId="165" fontId="2" fillId="5" borderId="1" xfId="3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168" fontId="2" fillId="4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7" fontId="3" fillId="3" borderId="1" xfId="0" applyNumberFormat="1" applyFont="1" applyFill="1" applyBorder="1" applyAlignment="1">
      <alignment horizontal="center" vertical="center" wrapText="1"/>
    </xf>
    <xf numFmtId="167" fontId="2" fillId="3" borderId="1" xfId="1" applyNumberFormat="1" applyFont="1" applyFill="1" applyBorder="1" applyAlignment="1">
      <alignment horizontal="center" vertical="center" wrapText="1"/>
    </xf>
    <xf numFmtId="168" fontId="2" fillId="3" borderId="1" xfId="1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7" fontId="13" fillId="3" borderId="1" xfId="1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167" fontId="4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43" fontId="15" fillId="7" borderId="1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5" fontId="16" fillId="3" borderId="1" xfId="1" applyFont="1" applyFill="1" applyBorder="1" applyAlignment="1">
      <alignment horizontal="center" vertical="center"/>
    </xf>
    <xf numFmtId="164" fontId="16" fillId="3" borderId="1" xfId="1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/>
    <xf numFmtId="165" fontId="2" fillId="3" borderId="0" xfId="3" applyFont="1" applyFill="1" applyBorder="1" applyAlignment="1">
      <alignment horizontal="center" vertical="center"/>
    </xf>
    <xf numFmtId="165" fontId="2" fillId="3" borderId="0" xfId="3" applyFont="1" applyFill="1" applyBorder="1"/>
    <xf numFmtId="0" fontId="0" fillId="0" borderId="5" xfId="0" applyBorder="1"/>
    <xf numFmtId="168" fontId="6" fillId="8" borderId="1" xfId="0" applyNumberFormat="1" applyFont="1" applyFill="1" applyBorder="1" applyAlignment="1">
      <alignment horizontal="center" vertical="center"/>
    </xf>
    <xf numFmtId="168" fontId="2" fillId="8" borderId="1" xfId="0" applyNumberFormat="1" applyFont="1" applyFill="1" applyBorder="1" applyAlignment="1">
      <alignment horizontal="center" vertical="center"/>
    </xf>
    <xf numFmtId="164" fontId="2" fillId="5" borderId="1" xfId="3" applyNumberFormat="1" applyFont="1" applyFill="1" applyBorder="1" applyAlignment="1">
      <alignment horizontal="center" vertical="center"/>
    </xf>
    <xf numFmtId="168" fontId="2" fillId="5" borderId="1" xfId="1" applyNumberFormat="1" applyFont="1" applyFill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/>
    </xf>
  </cellXfs>
  <cellStyles count="4">
    <cellStyle name="Comma" xfId="1" builtinId="3"/>
    <cellStyle name="Comma 2" xfId="3" xr:uid="{6D013AA0-6E8E-4819-8976-E3360DC40275}"/>
    <cellStyle name="Currency" xfId="2" builtinId="4"/>
    <cellStyle name="Normal" xfId="0" builtinId="0"/>
  </cellStyles>
  <dxfs count="93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&quot;AED&quot;* #,##0.00_-;\-&quot;AED&quot;* #,##0.00_-;_-&quot;AED&quot;* &quot;-&quot;??_-;_-@_-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&quot;AED&quot;#,##0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&quot;AED&quot;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&quot;AED&quot;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6" formatCode="dd\/mm\/yy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6" formatCode="dd\/mm\/yy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&quot;AED&quot;* #,##0.00_-;\-&quot;AED&quot;* #,##0.00_-;_-&quot;AED&quot;* &quot;-&quot;??_-;_-@_-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&quot;AED&quot;#,##0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2"/>
      </font>
      <numFmt numFmtId="16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&quot;AED&quot;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&quot;AED&quot;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6" formatCode="dd\/mm\/yy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6" formatCode="dd\/mm\/yy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b/>
      </font>
      <fill>
        <patternFill patternType="solid">
          <fgColor indexed="64"/>
          <bgColor theme="9" tint="-0.249977111117893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b/>
      </font>
      <fill>
        <patternFill patternType="solid">
          <fgColor indexed="64"/>
          <bgColor theme="9" tint="-0.249977111117893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color theme="1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&quot;AED&quot;* #,##0.00_-;\-&quot;AED&quot;* #,##0.00_-;_-&quot;AED&quot;* &quot;-&quot;??_-;_-@_-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</font>
      <numFmt numFmtId="16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color theme="1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&quot;AED&quot;#,##0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&quot;AED&quot;#,##0"/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&quot;AED&quot;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6" formatCode="dd\/mm\/yy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6" formatCode="dd\/mm\/yy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b/>
      </font>
      <fill>
        <patternFill patternType="solid">
          <fgColor indexed="64"/>
          <bgColor theme="9" tint="-0.249977111117893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C8C56C-FD82-4301-926B-5648FA079EE2}" name="Report_2025_Q4" displayName="Report_2025_Q4" ref="A1:N115" totalsRowCount="1" headerRowDxfId="92" dataDxfId="91" totalsRowDxfId="90">
  <autoFilter ref="A1:N114" xr:uid="{72C8C56C-FD82-4301-926B-5648FA079EE2}"/>
  <sortState xmlns:xlrd2="http://schemas.microsoft.com/office/spreadsheetml/2017/richdata2" ref="A2:M2">
    <sortCondition ref="A1"/>
  </sortState>
  <tableColumns count="14">
    <tableColumn id="1" xr3:uid="{008AB973-F9F9-4086-99E8-BCD2B7C32632}" name="." dataDxfId="89" totalsRowDxfId="41"/>
    <tableColumn id="5" xr3:uid="{7D7A9DF1-D67D-400D-9F36-B2E21DD81596}" name="no " dataDxfId="88" totalsRowDxfId="40"/>
    <tableColumn id="4" xr3:uid="{2E2DE38A-273B-4D69-BF66-74C50767B65A}" name="item" dataDxfId="87" totalsRowDxfId="39" dataCellStyle="Comma"/>
    <tableColumn id="19" xr3:uid="{FE1887E8-CAB5-4A20-8991-193A587F8115}" name="unit" dataDxfId="86" totalsRowDxfId="38" dataCellStyle="Comma"/>
    <tableColumn id="7" xr3:uid="{F77DACA8-7B6A-4F05-A40D-5D0A6A1BDB9D}" name="3 monthes  ORDER " dataDxfId="85" totalsRowDxfId="37"/>
    <tableColumn id="6" xr3:uid="{0C4C536B-A0D8-4A37-A016-2DB3A21E141D}" name="Category" dataDxfId="84" totalsRowDxfId="36" dataCellStyle="Comma"/>
    <tableColumn id="9" xr3:uid="{17F693C3-8820-4FAB-8CEF-6CB5A6CEACC4}" name="Opening Stock" dataDxfId="83" totalsRowDxfId="35" dataCellStyle="Comma"/>
    <tableColumn id="15" xr3:uid="{79D6EC2C-C056-4CBC-94E4-B76BBF7146ED}" name="withdrawls villa " dataDxfId="82" totalsRowDxfId="34" dataCellStyle="Currency"/>
    <tableColumn id="11" xr3:uid="{B840AB1A-ED6F-4FFA-9FD0-0B3FF4D76C51}" name="cost villa " totalsRowFunction="custom" dataDxfId="81" totalsRowDxfId="33" dataCellStyle="Comma 2">
      <calculatedColumnFormula>Report_2025_Q4[[#This Row],[withdrawls villa ]]*Report_2025_Q4[[#This Row],[cost by unit ]]</calculatedColumnFormula>
      <totalsRowFormula>SUM(Report_2025_Q4[[cost villa ]])</totalsRowFormula>
    </tableColumn>
    <tableColumn id="8" xr3:uid="{43DA17B4-D2A8-4C30-825A-36300E0A22F4}" name="withdrawls IBN " dataDxfId="80" totalsRowDxfId="32" dataCellStyle="Comma 2"/>
    <tableColumn id="10" xr3:uid="{F8E935AB-17E7-452C-85F6-1BA36BF8AF30}" name="IBN cost " totalsRowFunction="custom" dataDxfId="79" totalsRowDxfId="31" dataCellStyle="Comma 2">
      <calculatedColumnFormula>Report_2025_Q4[[#This Row],[withdrawls IBN ]]*Report_2025_Q4[[#This Row],[cost by unit ]]</calculatedColumnFormula>
      <totalsRowFormula>SUM(Report_2025_Q4[[IBN cost ]])</totalsRowFormula>
    </tableColumn>
    <tableColumn id="2" xr3:uid="{C5EE3EFA-3327-4C0B-AF48-3DFCFFAB88A8}" name="cost by unit " dataDxfId="78" totalsRowDxfId="30" dataCellStyle="Comma"/>
    <tableColumn id="3" xr3:uid="{034A377E-61EB-40A5-825C-C0F233063BE6}" name="total cost of stocks " totalsRowFunction="custom" dataDxfId="77" totalsRowDxfId="29" dataCellStyle="Comma">
      <calculatedColumnFormula>Report_2025_Q4[[#This Row],[cost villa ]]+Report_2025_Q4[[#This Row],[IBN cost ]]</calculatedColumnFormula>
      <totalsRowFormula>SUM(Report_2025_Q4[[total cost of stocks ]])</totalsRowFormula>
    </tableColumn>
    <tableColumn id="21" xr3:uid="{C9E22ED2-120D-4F90-92A1-AD57B6B93E18}" name="totall cost of needed stck " totalsRowFunction="custom" dataDxfId="76" totalsRowDxfId="28" dataCellStyle="Comma">
      <calculatedColumnFormula>Report_2025_Q4[[#This Row],[3 monthes  ORDER ]]*Report_2025_Q4[[#This Row],[cost by unit ]]</calculatedColumnFormula>
      <totalsRowFormula>SUM(Report_2025_Q4[[totall cost of needed stck ]])</totalsRow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A9231B-B172-4797-81AF-ECF47A2ABF6C}" name="Report_2026_Q1" displayName="Report_2026_Q1" ref="A1:N115" totalsRowCount="1" headerRowDxfId="75" dataDxfId="74" totalsRowDxfId="73">
  <autoFilter ref="A1:N114" xr:uid="{F4A9231B-B172-4797-81AF-ECF47A2ABF6C}"/>
  <sortState xmlns:xlrd2="http://schemas.microsoft.com/office/spreadsheetml/2017/richdata2" ref="A2:M2">
    <sortCondition ref="A1"/>
  </sortState>
  <tableColumns count="14">
    <tableColumn id="1" xr3:uid="{662BD595-D09A-49EF-92B3-EFA0D9A5EE5F}" name="." dataDxfId="55" totalsRowDxfId="27"/>
    <tableColumn id="5" xr3:uid="{B0ADBE79-8B62-4319-A8E8-368F472595F4}" name="no " dataDxfId="54" totalsRowDxfId="26"/>
    <tableColumn id="4" xr3:uid="{98BB2346-BA60-42F9-A23D-E6763D07C54E}" name="item" dataDxfId="53" totalsRowDxfId="25" dataCellStyle="Comma"/>
    <tableColumn id="19" xr3:uid="{68FC8FA0-B321-4421-9D8B-2FE4BEC1599A}" name="unit" dataDxfId="52" totalsRowDxfId="24" dataCellStyle="Comma"/>
    <tableColumn id="7" xr3:uid="{8446E0C3-08A8-4ED9-9C49-FF138126A56A}" name="3 monthes  ORDER " dataDxfId="51" totalsRowDxfId="23"/>
    <tableColumn id="6" xr3:uid="{CB3D1D92-B97F-4C0E-90D0-6F82E8CA7FDC}" name="Category" dataDxfId="50" totalsRowDxfId="22" dataCellStyle="Comma"/>
    <tableColumn id="9" xr3:uid="{76A230F9-2E9E-4D6B-AB69-7C74942C3B84}" name="Opening Stock" dataDxfId="49" totalsRowDxfId="21" dataCellStyle="Comma"/>
    <tableColumn id="15" xr3:uid="{5490ACFF-64D0-4A53-9E5A-1522F5E640D5}" name="withdrawls villa " dataDxfId="48" totalsRowDxfId="20" dataCellStyle="Comma"/>
    <tableColumn id="11" xr3:uid="{AAED245F-0A4A-494F-BA3D-3966C14C9986}" name="cost villa " totalsRowFunction="custom" dataDxfId="47" totalsRowDxfId="19" dataCellStyle="Comma 2">
      <calculatedColumnFormula>Report_2026_Q1[[#This Row],[withdrawls villa ]]*Report_2026_Q1[[#This Row],[cost by unit ]]</calculatedColumnFormula>
      <totalsRowFormula>SUM(Report_2026_Q1[[cost villa ]])</totalsRowFormula>
    </tableColumn>
    <tableColumn id="8" xr3:uid="{32ED4F9B-C10B-4FEA-AE3B-5F28F7DA995D}" name="withdrawls IBN " dataDxfId="46" totalsRowDxfId="18" dataCellStyle="Comma 2"/>
    <tableColumn id="10" xr3:uid="{D4E00CC8-3A83-4304-BF33-61A863BD83BA}" name="IBN cost " totalsRowFunction="custom" dataDxfId="45" totalsRowDxfId="17" dataCellStyle="Comma 2">
      <calculatedColumnFormula>Report_2026_Q1[[#This Row],[withdrawls IBN ]]*Report_2026_Q1[[#This Row],[cost by unit ]]</calculatedColumnFormula>
      <totalsRowFormula>SUM(Report_2026_Q1[[IBN cost ]])</totalsRowFormula>
    </tableColumn>
    <tableColumn id="2" xr3:uid="{A29A785E-42D8-4C53-8864-C42B4A6D2C40}" name="cost by unit " dataDxfId="44" totalsRowDxfId="16" dataCellStyle="Comma"/>
    <tableColumn id="3" xr3:uid="{921B6D3F-5B93-4C6A-BE00-E1924385BBD1}" name="total cost of stocks " totalsRowFunction="custom" dataDxfId="43" totalsRowDxfId="15" dataCellStyle="Comma">
      <calculatedColumnFormula>Report_2026_Q1[[#This Row],[cost villa ]]+Report_2026_Q1[[#This Row],[IBN cost ]]</calculatedColumnFormula>
      <totalsRowFormula>SUM(Report_2026_Q1[[total cost of stocks ]])</totalsRowFormula>
    </tableColumn>
    <tableColumn id="21" xr3:uid="{76572D73-E9DC-453B-BBCF-3E422A94B62C}" name="totall cost of needed stck " totalsRowFunction="custom" dataDxfId="42" totalsRowDxfId="14" dataCellStyle="Comma">
      <calculatedColumnFormula>Report_2026_Q1[[#This Row],[3 monthes  ORDER ]]*Report_2026_Q1[[#This Row],[cost by unit ]]</calculatedColumnFormula>
      <totalsRowFormula>SUM(Report_2026_Q1[[totall cost of needed stck ]])</totalsRow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AF51A6-65BB-460A-A361-645AE19EF3E9}" name="Report_2026_Q2" displayName="Report_2026_Q2" ref="A1:N117" totalsRowCount="1" headerRowDxfId="72" dataDxfId="71" totalsRowDxfId="70">
  <autoFilter ref="A1:N116" xr:uid="{53AF51A6-65BB-460A-A361-645AE19EF3E9}"/>
  <sortState xmlns:xlrd2="http://schemas.microsoft.com/office/spreadsheetml/2017/richdata2" ref="A2:M3">
    <sortCondition ref="A1"/>
  </sortState>
  <tableColumns count="14">
    <tableColumn id="1" xr3:uid="{DBAA0179-CFE0-4446-94F2-6B632DC78DBA}" name="." dataDxfId="69" totalsRowDxfId="13"/>
    <tableColumn id="5" xr3:uid="{923AC8DE-C3C2-464D-B9CF-56AA6FBB5FA8}" name="no " dataDxfId="68" totalsRowDxfId="12"/>
    <tableColumn id="4" xr3:uid="{6A732BDD-2D90-443A-9127-A4C9D1860DC9}" name="item" dataDxfId="67" totalsRowDxfId="11" dataCellStyle="Comma"/>
    <tableColumn id="19" xr3:uid="{315A1EAF-D03F-49A3-9419-00BC0CB27D99}" name="unit" dataDxfId="66" totalsRowDxfId="10" dataCellStyle="Comma"/>
    <tableColumn id="7" xr3:uid="{245C63D3-159B-42B5-B5C8-0CF5A1CE6A6C}" name="3 monthes  ORDER " dataDxfId="65" totalsRowDxfId="9" dataCellStyle="Currency"/>
    <tableColumn id="6" xr3:uid="{5D05CDC4-B14E-4330-BA01-0C6AA8E4C225}" name="Category" dataDxfId="64" totalsRowDxfId="8" dataCellStyle="Comma"/>
    <tableColumn id="13" xr3:uid="{E1B168C7-271D-4B04-A88C-FC2446128C32}" name="OPENING STOCK " dataDxfId="63" totalsRowDxfId="7"/>
    <tableColumn id="15" xr3:uid="{D15E45F4-829D-44E1-96FD-54B00BE304B4}" name="withdrawls villa " dataDxfId="62" totalsRowDxfId="6" dataCellStyle="Comma"/>
    <tableColumn id="11" xr3:uid="{0AC3D4DE-ED39-43B7-AA4E-76BFC37B7B9F}" name="cost villa " totalsRowFunction="custom" dataDxfId="61" totalsRowDxfId="5" dataCellStyle="Comma 2">
      <calculatedColumnFormula>Report_2026_Q2[[#This Row],[withdrawls villa ]]*Report_2026_Q2[[#This Row],[cost by unit ]]</calculatedColumnFormula>
      <totalsRowFormula>SUM(Report_2026_Q2[[cost villa ]])</totalsRowFormula>
    </tableColumn>
    <tableColumn id="8" xr3:uid="{2F5F2015-A5DF-42B8-BE00-D1B0384D897F}" name="withdrawls IBN " dataDxfId="60" totalsRowDxfId="4" dataCellStyle="Comma 2"/>
    <tableColumn id="10" xr3:uid="{DAC53C34-E185-48B7-B21A-5818DA66B8B9}" name="IBN cost " totalsRowFunction="custom" dataDxfId="59" totalsRowDxfId="3" dataCellStyle="Comma 2">
      <calculatedColumnFormula>Report_2026_Q2[[#This Row],[withdrawls IBN ]]*Report_2026_Q2[[#This Row],[cost by unit ]]</calculatedColumnFormula>
      <totalsRowFormula>SUM(Report_2026_Q2[[IBN cost ]])</totalsRowFormula>
    </tableColumn>
    <tableColumn id="2" xr3:uid="{7DD4D265-365C-4A68-9A3B-CD403C520DB7}" name="cost by unit " dataDxfId="58" totalsRowDxfId="2" dataCellStyle="Comma"/>
    <tableColumn id="3" xr3:uid="{09C1E8A5-A046-41C9-8A50-7413C8C971B4}" name="total cost of stocks " totalsRowFunction="custom" dataDxfId="57" totalsRowDxfId="1" dataCellStyle="Comma">
      <calculatedColumnFormula>Report_2026_Q2[[#This Row],[cost villa ]]+Report_2026_Q2[[#This Row],[IBN cost ]]</calculatedColumnFormula>
      <totalsRowFormula>SUM(Report_2026_Q2[[total cost of stocks ]])</totalsRowFormula>
    </tableColumn>
    <tableColumn id="21" xr3:uid="{EC1DAD2B-0DFD-4BFB-98AE-15742AB68EBE}" name="totall cost of needed stck " totalsRowFunction="custom" dataDxfId="56" totalsRowDxfId="0" dataCellStyle="Comma">
      <calculatedColumnFormula>Report_2026_Q2[[#This Row],[3 monthes  ORDER ]]*Report_2026_Q2[[#This Row],[cost by unit ]]</calculatedColumnFormula>
      <totalsRowFormula>SUM(Report_2026_Q2[[totall cost of needed stck ]])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9B5C-12EB-4437-9482-5B92E1B24ADF}">
  <dimension ref="A1:EO125"/>
  <sheetViews>
    <sheetView zoomScale="115" zoomScaleNormal="115" workbookViewId="0">
      <selection activeCell="C8" sqref="C8"/>
    </sheetView>
  </sheetViews>
  <sheetFormatPr defaultRowHeight="14"/>
  <cols>
    <col min="1" max="1" width="5.8984375" style="2" bestFit="1" customWidth="1"/>
    <col min="2" max="2" width="8" style="2" bestFit="1" customWidth="1"/>
    <col min="3" max="3" width="47.59765625" style="2" bestFit="1" customWidth="1"/>
    <col min="4" max="4" width="9.19921875" style="2" bestFit="1" customWidth="1"/>
    <col min="5" max="5" width="21.59765625" style="2" bestFit="1" customWidth="1"/>
    <col min="6" max="6" width="20.5" style="2" bestFit="1" customWidth="1"/>
    <col min="7" max="7" width="17.5" style="2" bestFit="1" customWidth="1"/>
    <col min="8" max="8" width="18.8984375" style="2" bestFit="1" customWidth="1"/>
    <col min="9" max="9" width="13" style="2" bestFit="1" customWidth="1"/>
    <col min="10" max="10" width="18.5" style="2" bestFit="1" customWidth="1"/>
    <col min="11" max="11" width="12.59765625" style="2" bestFit="1" customWidth="1"/>
    <col min="12" max="12" width="15.5" style="2" bestFit="1" customWidth="1"/>
    <col min="13" max="13" width="21.796875" style="2" bestFit="1" customWidth="1"/>
    <col min="14" max="14" width="27.19921875" style="2" bestFit="1" customWidth="1"/>
  </cols>
  <sheetData>
    <row r="1" spans="1:145" s="7" customFormat="1">
      <c r="A1" s="3" t="s">
        <v>136</v>
      </c>
      <c r="B1" s="3" t="s">
        <v>0</v>
      </c>
      <c r="C1" s="4" t="s">
        <v>138</v>
      </c>
      <c r="D1" s="3" t="s">
        <v>1</v>
      </c>
      <c r="E1" s="3" t="s">
        <v>135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</row>
    <row r="2" spans="1:145" s="6" customFormat="1" ht="27.95">
      <c r="A2" s="8"/>
      <c r="B2" s="9">
        <v>1</v>
      </c>
      <c r="C2" s="21" t="s">
        <v>13</v>
      </c>
      <c r="D2" s="22" t="s">
        <v>14</v>
      </c>
      <c r="E2" s="10">
        <v>160</v>
      </c>
      <c r="F2" s="11" t="s">
        <v>12</v>
      </c>
      <c r="G2" s="9">
        <v>0</v>
      </c>
      <c r="H2" s="10">
        <v>100</v>
      </c>
      <c r="I2" s="12">
        <f>Report_2025_Q4[[#This Row],[withdrawls villa ]]*Report_2025_Q4[[#This Row],[cost by unit ]]</f>
        <v>12000</v>
      </c>
      <c r="J2" s="12">
        <v>60</v>
      </c>
      <c r="K2" s="12">
        <f>Report_2025_Q4[[#This Row],[withdrawls IBN ]]*Report_2025_Q4[[#This Row],[cost by unit ]]</f>
        <v>7200</v>
      </c>
      <c r="L2" s="23">
        <v>120</v>
      </c>
      <c r="M2" s="13">
        <f>Report_2025_Q4[[#This Row],[cost villa ]]+Report_2025_Q4[[#This Row],[IBN cost ]]</f>
        <v>19200</v>
      </c>
      <c r="N2" s="24">
        <f>Report_2025_Q4[[#This Row],[3 monthes  ORDER ]]*Report_2025_Q4[[#This Row],[cost by unit ]]</f>
        <v>19200</v>
      </c>
      <c r="O2" s="5"/>
      <c r="P2" s="5"/>
    </row>
    <row r="3" spans="1:145" s="6" customFormat="1" ht="15.6">
      <c r="A3" s="8"/>
      <c r="B3" s="9">
        <v>2</v>
      </c>
      <c r="C3" s="21" t="s">
        <v>15</v>
      </c>
      <c r="D3" s="22" t="s">
        <v>16</v>
      </c>
      <c r="E3" s="10">
        <v>10</v>
      </c>
      <c r="F3" s="11" t="s">
        <v>12</v>
      </c>
      <c r="G3" s="9">
        <v>0</v>
      </c>
      <c r="H3" s="10">
        <v>5</v>
      </c>
      <c r="I3" s="12">
        <f>Report_2025_Q4[[#This Row],[withdrawls villa ]]*Report_2025_Q4[[#This Row],[cost by unit ]]</f>
        <v>1328.25</v>
      </c>
      <c r="J3" s="12">
        <v>5</v>
      </c>
      <c r="K3" s="12">
        <f>Report_2025_Q4[[#This Row],[withdrawls IBN ]]*Report_2025_Q4[[#This Row],[cost by unit ]]</f>
        <v>1328.25</v>
      </c>
      <c r="L3" s="23">
        <v>265.64999999999998</v>
      </c>
      <c r="M3" s="13">
        <f>Report_2025_Q4[[#This Row],[cost villa ]]+Report_2025_Q4[[#This Row],[IBN cost ]]</f>
        <v>2656.5</v>
      </c>
      <c r="N3" s="12">
        <f>Report_2025_Q4[[#This Row],[3 monthes  ORDER ]]*Report_2025_Q4[[#This Row],[cost by unit ]]</f>
        <v>2656.5</v>
      </c>
      <c r="O3" s="5"/>
      <c r="P3" s="5"/>
    </row>
    <row r="4" spans="1:145" s="6" customFormat="1" ht="27.95">
      <c r="A4" s="8"/>
      <c r="B4" s="9">
        <v>3</v>
      </c>
      <c r="C4" s="25" t="s">
        <v>17</v>
      </c>
      <c r="D4" s="22" t="s">
        <v>16</v>
      </c>
      <c r="E4" s="10">
        <v>10</v>
      </c>
      <c r="F4" s="11" t="s">
        <v>12</v>
      </c>
      <c r="G4" s="9">
        <v>0</v>
      </c>
      <c r="H4" s="10">
        <v>5</v>
      </c>
      <c r="I4" s="12">
        <f>Report_2025_Q4[[#This Row],[withdrawls villa ]]*Report_2025_Q4[[#This Row],[cost by unit ]]</f>
        <v>1680</v>
      </c>
      <c r="J4" s="12">
        <v>5</v>
      </c>
      <c r="K4" s="12">
        <f>Report_2025_Q4[[#This Row],[withdrawls IBN ]]*Report_2025_Q4[[#This Row],[cost by unit ]]</f>
        <v>1680</v>
      </c>
      <c r="L4" s="23">
        <v>336</v>
      </c>
      <c r="M4" s="13">
        <f>Report_2025_Q4[[#This Row],[cost villa ]]+Report_2025_Q4[[#This Row],[IBN cost ]]</f>
        <v>3360</v>
      </c>
      <c r="N4" s="12">
        <f>Report_2025_Q4[[#This Row],[3 monthes  ORDER ]]*Report_2025_Q4[[#This Row],[cost by unit ]]</f>
        <v>3360</v>
      </c>
      <c r="O4" s="5"/>
      <c r="P4" s="5"/>
    </row>
    <row r="5" spans="1:145" s="6" customFormat="1" ht="27.95">
      <c r="A5" s="8"/>
      <c r="B5" s="9">
        <v>4</v>
      </c>
      <c r="C5" s="21" t="s">
        <v>18</v>
      </c>
      <c r="D5" s="22" t="s">
        <v>16</v>
      </c>
      <c r="E5" s="10">
        <v>10</v>
      </c>
      <c r="F5" s="11" t="s">
        <v>12</v>
      </c>
      <c r="G5" s="9">
        <v>0</v>
      </c>
      <c r="H5" s="10">
        <v>5</v>
      </c>
      <c r="I5" s="12">
        <f>Report_2025_Q4[[#This Row],[withdrawls villa ]]*Report_2025_Q4[[#This Row],[cost by unit ]]</f>
        <v>1680</v>
      </c>
      <c r="J5" s="12">
        <v>5</v>
      </c>
      <c r="K5" s="12">
        <f>Report_2025_Q4[[#This Row],[withdrawls IBN ]]*Report_2025_Q4[[#This Row],[cost by unit ]]</f>
        <v>1680</v>
      </c>
      <c r="L5" s="23">
        <v>336</v>
      </c>
      <c r="M5" s="13">
        <f>Report_2025_Q4[[#This Row],[cost villa ]]+Report_2025_Q4[[#This Row],[IBN cost ]]</f>
        <v>3360</v>
      </c>
      <c r="N5" s="12">
        <f>Report_2025_Q4[[#This Row],[3 monthes  ORDER ]]*Report_2025_Q4[[#This Row],[cost by unit ]]</f>
        <v>3360</v>
      </c>
      <c r="O5" s="5"/>
      <c r="P5" s="5"/>
    </row>
    <row r="6" spans="1:145" s="6" customFormat="1" ht="15.6">
      <c r="A6" s="8"/>
      <c r="B6" s="9">
        <v>5</v>
      </c>
      <c r="C6" s="21" t="s">
        <v>19</v>
      </c>
      <c r="D6" s="22" t="s">
        <v>16</v>
      </c>
      <c r="E6" s="10">
        <v>10</v>
      </c>
      <c r="F6" s="11" t="s">
        <v>12</v>
      </c>
      <c r="G6" s="9">
        <v>0</v>
      </c>
      <c r="H6" s="10">
        <v>5</v>
      </c>
      <c r="I6" s="12">
        <f>Report_2025_Q4[[#This Row],[withdrawls villa ]]*Report_2025_Q4[[#This Row],[cost by unit ]]</f>
        <v>1680</v>
      </c>
      <c r="J6" s="12">
        <v>5</v>
      </c>
      <c r="K6" s="12">
        <f>Report_2025_Q4[[#This Row],[withdrawls IBN ]]*Report_2025_Q4[[#This Row],[cost by unit ]]</f>
        <v>1680</v>
      </c>
      <c r="L6" s="23">
        <v>336</v>
      </c>
      <c r="M6" s="13">
        <f>Report_2025_Q4[[#This Row],[cost villa ]]+Report_2025_Q4[[#This Row],[IBN cost ]]</f>
        <v>3360</v>
      </c>
      <c r="N6" s="12">
        <f>Report_2025_Q4[[#This Row],[3 monthes  ORDER ]]*Report_2025_Q4[[#This Row],[cost by unit ]]</f>
        <v>3360</v>
      </c>
      <c r="O6" s="5"/>
      <c r="P6" s="5"/>
    </row>
    <row r="7" spans="1:145" s="6" customFormat="1" ht="15.6">
      <c r="A7" s="8"/>
      <c r="B7" s="9">
        <v>6</v>
      </c>
      <c r="C7" s="21" t="s">
        <v>20</v>
      </c>
      <c r="D7" s="22" t="s">
        <v>16</v>
      </c>
      <c r="E7" s="10">
        <v>10</v>
      </c>
      <c r="F7" s="11" t="s">
        <v>12</v>
      </c>
      <c r="G7" s="9">
        <v>0</v>
      </c>
      <c r="H7" s="10">
        <v>5</v>
      </c>
      <c r="I7" s="12">
        <f>Report_2025_Q4[[#This Row],[withdrawls villa ]]*Report_2025_Q4[[#This Row],[cost by unit ]]</f>
        <v>1680</v>
      </c>
      <c r="J7" s="12">
        <v>5</v>
      </c>
      <c r="K7" s="12">
        <f>Report_2025_Q4[[#This Row],[withdrawls IBN ]]*Report_2025_Q4[[#This Row],[cost by unit ]]</f>
        <v>1680</v>
      </c>
      <c r="L7" s="23">
        <v>336</v>
      </c>
      <c r="M7" s="13">
        <f>Report_2025_Q4[[#This Row],[cost villa ]]+Report_2025_Q4[[#This Row],[IBN cost ]]</f>
        <v>3360</v>
      </c>
      <c r="N7" s="12">
        <f>Report_2025_Q4[[#This Row],[3 monthes  ORDER ]]*Report_2025_Q4[[#This Row],[cost by unit ]]</f>
        <v>3360</v>
      </c>
      <c r="O7" s="5"/>
      <c r="P7" s="5"/>
    </row>
    <row r="8" spans="1:145" s="6" customFormat="1" ht="27.95">
      <c r="A8" s="8"/>
      <c r="B8" s="9">
        <v>7</v>
      </c>
      <c r="C8" s="21" t="s">
        <v>21</v>
      </c>
      <c r="D8" s="22" t="s">
        <v>16</v>
      </c>
      <c r="E8" s="10">
        <v>10</v>
      </c>
      <c r="F8" s="11" t="s">
        <v>12</v>
      </c>
      <c r="G8" s="9">
        <v>0</v>
      </c>
      <c r="H8" s="10">
        <v>5</v>
      </c>
      <c r="I8" s="12">
        <f>Report_2025_Q4[[#This Row],[withdrawls villa ]]*Report_2025_Q4[[#This Row],[cost by unit ]]</f>
        <v>1680</v>
      </c>
      <c r="J8" s="12">
        <v>5</v>
      </c>
      <c r="K8" s="12">
        <f>Report_2025_Q4[[#This Row],[withdrawls IBN ]]*Report_2025_Q4[[#This Row],[cost by unit ]]</f>
        <v>1680</v>
      </c>
      <c r="L8" s="23">
        <v>336</v>
      </c>
      <c r="M8" s="13">
        <f>Report_2025_Q4[[#This Row],[cost villa ]]+Report_2025_Q4[[#This Row],[IBN cost ]]</f>
        <v>3360</v>
      </c>
      <c r="N8" s="12">
        <f>Report_2025_Q4[[#This Row],[3 monthes  ORDER ]]*Report_2025_Q4[[#This Row],[cost by unit ]]</f>
        <v>3360</v>
      </c>
      <c r="O8" s="5"/>
      <c r="P8" s="5"/>
    </row>
    <row r="9" spans="1:145" s="6" customFormat="1" ht="15.6">
      <c r="A9" s="8"/>
      <c r="B9" s="9">
        <v>8</v>
      </c>
      <c r="C9" s="21" t="s">
        <v>22</v>
      </c>
      <c r="D9" s="22" t="s">
        <v>16</v>
      </c>
      <c r="E9" s="10">
        <v>10</v>
      </c>
      <c r="F9" s="11" t="s">
        <v>12</v>
      </c>
      <c r="G9" s="9">
        <v>0</v>
      </c>
      <c r="H9" s="10">
        <v>5</v>
      </c>
      <c r="I9" s="12">
        <f>Report_2025_Q4[[#This Row],[withdrawls villa ]]*Report_2025_Q4[[#This Row],[cost by unit ]]</f>
        <v>1050</v>
      </c>
      <c r="J9" s="12">
        <v>5</v>
      </c>
      <c r="K9" s="12">
        <f>Report_2025_Q4[[#This Row],[withdrawls IBN ]]*Report_2025_Q4[[#This Row],[cost by unit ]]</f>
        <v>1050</v>
      </c>
      <c r="L9" s="23">
        <v>210</v>
      </c>
      <c r="M9" s="13">
        <f>Report_2025_Q4[[#This Row],[cost villa ]]+Report_2025_Q4[[#This Row],[IBN cost ]]</f>
        <v>2100</v>
      </c>
      <c r="N9" s="12">
        <f>Report_2025_Q4[[#This Row],[3 monthes  ORDER ]]*Report_2025_Q4[[#This Row],[cost by unit ]]</f>
        <v>2100</v>
      </c>
      <c r="O9" s="5"/>
      <c r="P9" s="5"/>
    </row>
    <row r="10" spans="1:145" s="6" customFormat="1" ht="15.6">
      <c r="A10" s="8"/>
      <c r="B10" s="9">
        <v>9</v>
      </c>
      <c r="C10" s="21" t="s">
        <v>23</v>
      </c>
      <c r="D10" s="22" t="s">
        <v>24</v>
      </c>
      <c r="E10" s="10">
        <v>50</v>
      </c>
      <c r="F10" s="11" t="s">
        <v>12</v>
      </c>
      <c r="G10" s="9">
        <v>0</v>
      </c>
      <c r="H10" s="10">
        <v>25</v>
      </c>
      <c r="I10" s="12">
        <f>Report_2025_Q4[[#This Row],[withdrawls villa ]]*Report_2025_Q4[[#This Row],[cost by unit ]]</f>
        <v>325</v>
      </c>
      <c r="J10" s="12">
        <v>25</v>
      </c>
      <c r="K10" s="12">
        <f>Report_2025_Q4[[#This Row],[withdrawls IBN ]]*Report_2025_Q4[[#This Row],[cost by unit ]]</f>
        <v>325</v>
      </c>
      <c r="L10" s="23">
        <v>13</v>
      </c>
      <c r="M10" s="13">
        <f>Report_2025_Q4[[#This Row],[cost villa ]]+Report_2025_Q4[[#This Row],[IBN cost ]]</f>
        <v>650</v>
      </c>
      <c r="N10" s="12">
        <f>Report_2025_Q4[[#This Row],[3 monthes  ORDER ]]*Report_2025_Q4[[#This Row],[cost by unit ]]</f>
        <v>650</v>
      </c>
      <c r="O10" s="5"/>
      <c r="P10" s="5"/>
    </row>
    <row r="11" spans="1:145" s="6" customFormat="1" ht="15.6">
      <c r="A11" s="8"/>
      <c r="B11" s="9">
        <v>10</v>
      </c>
      <c r="C11" s="21" t="s">
        <v>25</v>
      </c>
      <c r="D11" s="22" t="s">
        <v>24</v>
      </c>
      <c r="E11" s="10">
        <v>30</v>
      </c>
      <c r="F11" s="11" t="s">
        <v>12</v>
      </c>
      <c r="G11" s="9">
        <v>0</v>
      </c>
      <c r="H11" s="10">
        <v>15</v>
      </c>
      <c r="I11" s="12">
        <f>Report_2025_Q4[[#This Row],[withdrawls villa ]]*Report_2025_Q4[[#This Row],[cost by unit ]]</f>
        <v>195</v>
      </c>
      <c r="J11" s="12">
        <v>15</v>
      </c>
      <c r="K11" s="12">
        <f>Report_2025_Q4[[#This Row],[withdrawls IBN ]]*Report_2025_Q4[[#This Row],[cost by unit ]]</f>
        <v>195</v>
      </c>
      <c r="L11" s="23">
        <v>13</v>
      </c>
      <c r="M11" s="13">
        <f>Report_2025_Q4[[#This Row],[cost villa ]]+Report_2025_Q4[[#This Row],[IBN cost ]]</f>
        <v>390</v>
      </c>
      <c r="N11" s="12">
        <f>Report_2025_Q4[[#This Row],[3 monthes  ORDER ]]*Report_2025_Q4[[#This Row],[cost by unit ]]</f>
        <v>390</v>
      </c>
      <c r="O11" s="5"/>
      <c r="P11" s="5"/>
    </row>
    <row r="12" spans="1:145" s="6" customFormat="1" ht="27.95">
      <c r="A12" s="8"/>
      <c r="B12" s="9">
        <v>11</v>
      </c>
      <c r="C12" s="21" t="s">
        <v>26</v>
      </c>
      <c r="D12" s="22" t="s">
        <v>24</v>
      </c>
      <c r="E12" s="10">
        <v>30</v>
      </c>
      <c r="F12" s="11" t="s">
        <v>12</v>
      </c>
      <c r="G12" s="9">
        <v>0</v>
      </c>
      <c r="H12" s="10">
        <v>15</v>
      </c>
      <c r="I12" s="12">
        <f>Report_2025_Q4[[#This Row],[withdrawls villa ]]*Report_2025_Q4[[#This Row],[cost by unit ]]</f>
        <v>195</v>
      </c>
      <c r="J12" s="12">
        <v>15</v>
      </c>
      <c r="K12" s="12">
        <f>Report_2025_Q4[[#This Row],[withdrawls IBN ]]*Report_2025_Q4[[#This Row],[cost by unit ]]</f>
        <v>195</v>
      </c>
      <c r="L12" s="23">
        <v>13</v>
      </c>
      <c r="M12" s="13">
        <f>Report_2025_Q4[[#This Row],[cost villa ]]+Report_2025_Q4[[#This Row],[IBN cost ]]</f>
        <v>390</v>
      </c>
      <c r="N12" s="12">
        <f>Report_2025_Q4[[#This Row],[3 monthes  ORDER ]]*Report_2025_Q4[[#This Row],[cost by unit ]]</f>
        <v>390</v>
      </c>
      <c r="O12" s="5"/>
      <c r="P12" s="5"/>
    </row>
    <row r="13" spans="1:145" s="6" customFormat="1" ht="27.95">
      <c r="A13" s="8"/>
      <c r="B13" s="9">
        <v>12</v>
      </c>
      <c r="C13" s="21" t="s">
        <v>27</v>
      </c>
      <c r="D13" s="22" t="s">
        <v>28</v>
      </c>
      <c r="E13" s="10">
        <v>10</v>
      </c>
      <c r="F13" s="11" t="s">
        <v>12</v>
      </c>
      <c r="G13" s="9">
        <v>0</v>
      </c>
      <c r="H13" s="10">
        <v>5</v>
      </c>
      <c r="I13" s="12">
        <f>Report_2025_Q4[[#This Row],[withdrawls villa ]]*Report_2025_Q4[[#This Row],[cost by unit ]]</f>
        <v>85</v>
      </c>
      <c r="J13" s="12">
        <v>5</v>
      </c>
      <c r="K13" s="12">
        <f>Report_2025_Q4[[#This Row],[withdrawls IBN ]]*Report_2025_Q4[[#This Row],[cost by unit ]]</f>
        <v>85</v>
      </c>
      <c r="L13" s="23">
        <v>17</v>
      </c>
      <c r="M13" s="13">
        <f>Report_2025_Q4[[#This Row],[cost villa ]]+Report_2025_Q4[[#This Row],[IBN cost ]]</f>
        <v>170</v>
      </c>
      <c r="N13" s="12">
        <f>Report_2025_Q4[[#This Row],[3 monthes  ORDER ]]*Report_2025_Q4[[#This Row],[cost by unit ]]</f>
        <v>170</v>
      </c>
      <c r="O13" s="5"/>
      <c r="P13" s="5"/>
    </row>
    <row r="14" spans="1:145" s="6" customFormat="1" ht="15.6">
      <c r="A14" s="8"/>
      <c r="B14" s="9">
        <v>13</v>
      </c>
      <c r="C14" s="26" t="s">
        <v>29</v>
      </c>
      <c r="D14" s="22" t="s">
        <v>30</v>
      </c>
      <c r="E14" s="10">
        <v>720</v>
      </c>
      <c r="F14" s="11" t="s">
        <v>12</v>
      </c>
      <c r="G14" s="9">
        <v>0</v>
      </c>
      <c r="H14" s="10">
        <v>700</v>
      </c>
      <c r="I14" s="12">
        <f>Report_2025_Q4[[#This Row],[withdrawls villa ]]*Report_2025_Q4[[#This Row],[cost by unit ]]</f>
        <v>11900</v>
      </c>
      <c r="J14" s="12">
        <v>20</v>
      </c>
      <c r="K14" s="12">
        <f>Report_2025_Q4[[#This Row],[withdrawls IBN ]]*Report_2025_Q4[[#This Row],[cost by unit ]]</f>
        <v>340</v>
      </c>
      <c r="L14" s="23">
        <v>17</v>
      </c>
      <c r="M14" s="13">
        <f>Report_2025_Q4[[#This Row],[cost villa ]]+Report_2025_Q4[[#This Row],[IBN cost ]]</f>
        <v>12240</v>
      </c>
      <c r="N14" s="12">
        <f>Report_2025_Q4[[#This Row],[3 monthes  ORDER ]]*Report_2025_Q4[[#This Row],[cost by unit ]]</f>
        <v>12240</v>
      </c>
      <c r="O14" s="5"/>
      <c r="P14" s="5"/>
    </row>
    <row r="15" spans="1:145" s="6" customFormat="1" ht="15.6">
      <c r="A15" s="8"/>
      <c r="B15" s="9">
        <v>14</v>
      </c>
      <c r="C15" s="26" t="s">
        <v>31</v>
      </c>
      <c r="D15" s="22" t="s">
        <v>24</v>
      </c>
      <c r="E15" s="10">
        <v>20</v>
      </c>
      <c r="F15" s="11" t="s">
        <v>12</v>
      </c>
      <c r="G15" s="9">
        <v>0</v>
      </c>
      <c r="H15" s="10">
        <v>10</v>
      </c>
      <c r="I15" s="12">
        <f>Report_2025_Q4[[#This Row],[withdrawls villa ]]*Report_2025_Q4[[#This Row],[cost by unit ]]</f>
        <v>820</v>
      </c>
      <c r="J15" s="12">
        <v>10</v>
      </c>
      <c r="K15" s="12">
        <f>Report_2025_Q4[[#This Row],[withdrawls IBN ]]*Report_2025_Q4[[#This Row],[cost by unit ]]</f>
        <v>820</v>
      </c>
      <c r="L15" s="23">
        <v>82</v>
      </c>
      <c r="M15" s="13">
        <f>Report_2025_Q4[[#This Row],[cost villa ]]+Report_2025_Q4[[#This Row],[IBN cost ]]</f>
        <v>1640</v>
      </c>
      <c r="N15" s="12">
        <f>Report_2025_Q4[[#This Row],[3 monthes  ORDER ]]*Report_2025_Q4[[#This Row],[cost by unit ]]</f>
        <v>1640</v>
      </c>
      <c r="O15" s="5"/>
      <c r="P15" s="5"/>
    </row>
    <row r="16" spans="1:145" s="6" customFormat="1" ht="15.6">
      <c r="A16" s="8"/>
      <c r="B16" s="9">
        <v>15</v>
      </c>
      <c r="C16" s="26" t="s">
        <v>32</v>
      </c>
      <c r="D16" s="22" t="s">
        <v>24</v>
      </c>
      <c r="E16" s="10">
        <v>25</v>
      </c>
      <c r="F16" s="11" t="s">
        <v>12</v>
      </c>
      <c r="G16" s="9">
        <v>0</v>
      </c>
      <c r="H16" s="10">
        <v>20</v>
      </c>
      <c r="I16" s="12">
        <f>Report_2025_Q4[[#This Row],[withdrawls villa ]]*Report_2025_Q4[[#This Row],[cost by unit ]]</f>
        <v>1640</v>
      </c>
      <c r="J16" s="12">
        <v>5</v>
      </c>
      <c r="K16" s="12">
        <f>Report_2025_Q4[[#This Row],[withdrawls IBN ]]*Report_2025_Q4[[#This Row],[cost by unit ]]</f>
        <v>410</v>
      </c>
      <c r="L16" s="23">
        <v>82</v>
      </c>
      <c r="M16" s="13">
        <f>Report_2025_Q4[[#This Row],[cost villa ]]+Report_2025_Q4[[#This Row],[IBN cost ]]</f>
        <v>2050</v>
      </c>
      <c r="N16" s="12">
        <f>Report_2025_Q4[[#This Row],[3 monthes  ORDER ]]*Report_2025_Q4[[#This Row],[cost by unit ]]</f>
        <v>2050</v>
      </c>
      <c r="O16" s="5"/>
      <c r="P16" s="5"/>
    </row>
    <row r="17" spans="1:16" s="6" customFormat="1" ht="15.6">
      <c r="A17" s="8"/>
      <c r="B17" s="9">
        <v>16</v>
      </c>
      <c r="C17" s="26" t="s">
        <v>33</v>
      </c>
      <c r="D17" s="22" t="s">
        <v>24</v>
      </c>
      <c r="E17" s="10">
        <v>20</v>
      </c>
      <c r="F17" s="11" t="s">
        <v>12</v>
      </c>
      <c r="G17" s="9">
        <v>0</v>
      </c>
      <c r="H17" s="10">
        <v>10</v>
      </c>
      <c r="I17" s="12">
        <f>Report_2025_Q4[[#This Row],[withdrawls villa ]]*Report_2025_Q4[[#This Row],[cost by unit ]]</f>
        <v>750</v>
      </c>
      <c r="J17" s="12">
        <v>10</v>
      </c>
      <c r="K17" s="12">
        <f>Report_2025_Q4[[#This Row],[withdrawls IBN ]]*Report_2025_Q4[[#This Row],[cost by unit ]]</f>
        <v>750</v>
      </c>
      <c r="L17" s="23">
        <v>75</v>
      </c>
      <c r="M17" s="13">
        <f>Report_2025_Q4[[#This Row],[cost villa ]]+Report_2025_Q4[[#This Row],[IBN cost ]]</f>
        <v>1500</v>
      </c>
      <c r="N17" s="12">
        <f>Report_2025_Q4[[#This Row],[3 monthes  ORDER ]]*Report_2025_Q4[[#This Row],[cost by unit ]]</f>
        <v>1500</v>
      </c>
      <c r="O17" s="5"/>
      <c r="P17" s="5"/>
    </row>
    <row r="18" spans="1:16" s="6" customFormat="1" ht="15.6">
      <c r="A18" s="8"/>
      <c r="B18" s="9">
        <v>17</v>
      </c>
      <c r="C18" s="26" t="s">
        <v>34</v>
      </c>
      <c r="D18" s="22" t="s">
        <v>24</v>
      </c>
      <c r="E18" s="10">
        <v>10</v>
      </c>
      <c r="F18" s="11" t="s">
        <v>12</v>
      </c>
      <c r="G18" s="9">
        <v>0</v>
      </c>
      <c r="H18" s="10">
        <v>5</v>
      </c>
      <c r="I18" s="12">
        <f>Report_2025_Q4[[#This Row],[withdrawls villa ]]*Report_2025_Q4[[#This Row],[cost by unit ]]</f>
        <v>300</v>
      </c>
      <c r="J18" s="12">
        <v>5</v>
      </c>
      <c r="K18" s="12">
        <f>Report_2025_Q4[[#This Row],[withdrawls IBN ]]*Report_2025_Q4[[#This Row],[cost by unit ]]</f>
        <v>300</v>
      </c>
      <c r="L18" s="23">
        <v>60</v>
      </c>
      <c r="M18" s="13">
        <f>Report_2025_Q4[[#This Row],[cost villa ]]+Report_2025_Q4[[#This Row],[IBN cost ]]</f>
        <v>600</v>
      </c>
      <c r="N18" s="12">
        <f>Report_2025_Q4[[#This Row],[3 monthes  ORDER ]]*Report_2025_Q4[[#This Row],[cost by unit ]]</f>
        <v>600</v>
      </c>
      <c r="O18" s="5"/>
      <c r="P18" s="5"/>
    </row>
    <row r="19" spans="1:16" s="6" customFormat="1" ht="19.5" customHeight="1">
      <c r="A19" s="8"/>
      <c r="B19" s="9">
        <v>18</v>
      </c>
      <c r="C19" s="26" t="s">
        <v>35</v>
      </c>
      <c r="D19" s="22" t="s">
        <v>24</v>
      </c>
      <c r="E19" s="10">
        <v>20</v>
      </c>
      <c r="F19" s="11" t="s">
        <v>12</v>
      </c>
      <c r="G19" s="9">
        <v>0</v>
      </c>
      <c r="H19" s="10">
        <v>10</v>
      </c>
      <c r="I19" s="12">
        <f>Report_2025_Q4[[#This Row],[withdrawls villa ]]*Report_2025_Q4[[#This Row],[cost by unit ]]</f>
        <v>819</v>
      </c>
      <c r="J19" s="12">
        <v>10</v>
      </c>
      <c r="K19" s="12">
        <f>Report_2025_Q4[[#This Row],[withdrawls IBN ]]*Report_2025_Q4[[#This Row],[cost by unit ]]</f>
        <v>819</v>
      </c>
      <c r="L19" s="23">
        <v>81.900000000000006</v>
      </c>
      <c r="M19" s="13">
        <f>Report_2025_Q4[[#This Row],[cost villa ]]+Report_2025_Q4[[#This Row],[IBN cost ]]</f>
        <v>1638</v>
      </c>
      <c r="N19" s="12">
        <f>Report_2025_Q4[[#This Row],[3 monthes  ORDER ]]*Report_2025_Q4[[#This Row],[cost by unit ]]</f>
        <v>1638</v>
      </c>
      <c r="O19" s="5"/>
      <c r="P19" s="5"/>
    </row>
    <row r="20" spans="1:16" s="6" customFormat="1" ht="15.6">
      <c r="A20" s="8"/>
      <c r="B20" s="9">
        <v>19</v>
      </c>
      <c r="C20" s="26" t="s">
        <v>36</v>
      </c>
      <c r="D20" s="22" t="s">
        <v>24</v>
      </c>
      <c r="E20" s="10">
        <v>20</v>
      </c>
      <c r="F20" s="11" t="s">
        <v>12</v>
      </c>
      <c r="G20" s="9">
        <v>0</v>
      </c>
      <c r="H20" s="10">
        <v>10</v>
      </c>
      <c r="I20" s="12">
        <f>Report_2025_Q4[[#This Row],[withdrawls villa ]]*Report_2025_Q4[[#This Row],[cost by unit ]]</f>
        <v>819</v>
      </c>
      <c r="J20" s="12">
        <v>10</v>
      </c>
      <c r="K20" s="12">
        <f>Report_2025_Q4[[#This Row],[withdrawls IBN ]]*Report_2025_Q4[[#This Row],[cost by unit ]]</f>
        <v>819</v>
      </c>
      <c r="L20" s="23">
        <v>81.900000000000006</v>
      </c>
      <c r="M20" s="13">
        <f>Report_2025_Q4[[#This Row],[cost villa ]]+Report_2025_Q4[[#This Row],[IBN cost ]]</f>
        <v>1638</v>
      </c>
      <c r="N20" s="12">
        <f>Report_2025_Q4[[#This Row],[3 monthes  ORDER ]]*Report_2025_Q4[[#This Row],[cost by unit ]]</f>
        <v>1638</v>
      </c>
      <c r="O20" s="5"/>
      <c r="P20" s="5"/>
    </row>
    <row r="21" spans="1:16" s="6" customFormat="1" ht="15.6">
      <c r="A21" s="8"/>
      <c r="B21" s="9">
        <v>20</v>
      </c>
      <c r="C21" s="26" t="s">
        <v>37</v>
      </c>
      <c r="D21" s="22" t="s">
        <v>24</v>
      </c>
      <c r="E21" s="10">
        <v>20</v>
      </c>
      <c r="F21" s="11" t="s">
        <v>12</v>
      </c>
      <c r="G21" s="9">
        <v>0</v>
      </c>
      <c r="H21" s="10">
        <v>10</v>
      </c>
      <c r="I21" s="12">
        <f>Report_2025_Q4[[#This Row],[withdrawls villa ]]*Report_2025_Q4[[#This Row],[cost by unit ]]</f>
        <v>840</v>
      </c>
      <c r="J21" s="12">
        <v>10</v>
      </c>
      <c r="K21" s="12">
        <f>Report_2025_Q4[[#This Row],[withdrawls IBN ]]*Report_2025_Q4[[#This Row],[cost by unit ]]</f>
        <v>840</v>
      </c>
      <c r="L21" s="23">
        <v>84</v>
      </c>
      <c r="M21" s="13">
        <f>Report_2025_Q4[[#This Row],[cost villa ]]+Report_2025_Q4[[#This Row],[IBN cost ]]</f>
        <v>1680</v>
      </c>
      <c r="N21" s="12">
        <f>Report_2025_Q4[[#This Row],[3 monthes  ORDER ]]*Report_2025_Q4[[#This Row],[cost by unit ]]</f>
        <v>1680</v>
      </c>
      <c r="O21" s="5"/>
      <c r="P21" s="5"/>
    </row>
    <row r="22" spans="1:16" s="6" customFormat="1" ht="15.6">
      <c r="A22" s="8"/>
      <c r="B22" s="9">
        <v>21</v>
      </c>
      <c r="C22" s="26" t="s">
        <v>38</v>
      </c>
      <c r="D22" s="22" t="s">
        <v>24</v>
      </c>
      <c r="E22" s="10">
        <v>40</v>
      </c>
      <c r="F22" s="11" t="s">
        <v>12</v>
      </c>
      <c r="G22" s="9">
        <v>0</v>
      </c>
      <c r="H22" s="10">
        <v>20</v>
      </c>
      <c r="I22" s="12">
        <f>Report_2025_Q4[[#This Row],[withdrawls villa ]]*Report_2025_Q4[[#This Row],[cost by unit ]]</f>
        <v>1050</v>
      </c>
      <c r="J22" s="12">
        <v>20</v>
      </c>
      <c r="K22" s="12">
        <f>Report_2025_Q4[[#This Row],[withdrawls IBN ]]*Report_2025_Q4[[#This Row],[cost by unit ]]</f>
        <v>1050</v>
      </c>
      <c r="L22" s="23">
        <v>52.5</v>
      </c>
      <c r="M22" s="13">
        <f>Report_2025_Q4[[#This Row],[cost villa ]]+Report_2025_Q4[[#This Row],[IBN cost ]]</f>
        <v>2100</v>
      </c>
      <c r="N22" s="12">
        <f>Report_2025_Q4[[#This Row],[3 monthes  ORDER ]]*Report_2025_Q4[[#This Row],[cost by unit ]]</f>
        <v>2100</v>
      </c>
      <c r="O22" s="5"/>
      <c r="P22" s="5"/>
    </row>
    <row r="23" spans="1:16" s="6" customFormat="1" ht="15.6">
      <c r="A23" s="8"/>
      <c r="B23" s="9">
        <v>22</v>
      </c>
      <c r="C23" s="26" t="s">
        <v>39</v>
      </c>
      <c r="D23" s="22" t="s">
        <v>24</v>
      </c>
      <c r="E23" s="10">
        <v>25</v>
      </c>
      <c r="F23" s="11" t="s">
        <v>12</v>
      </c>
      <c r="G23" s="9">
        <v>0</v>
      </c>
      <c r="H23" s="10">
        <v>20</v>
      </c>
      <c r="I23" s="12">
        <f>Report_2025_Q4[[#This Row],[withdrawls villa ]]*Report_2025_Q4[[#This Row],[cost by unit ]]</f>
        <v>1008</v>
      </c>
      <c r="J23" s="12">
        <v>5</v>
      </c>
      <c r="K23" s="12">
        <f>Report_2025_Q4[[#This Row],[withdrawls IBN ]]*Report_2025_Q4[[#This Row],[cost by unit ]]</f>
        <v>252</v>
      </c>
      <c r="L23" s="23">
        <v>50.4</v>
      </c>
      <c r="M23" s="13">
        <f>Report_2025_Q4[[#This Row],[cost villa ]]+Report_2025_Q4[[#This Row],[IBN cost ]]</f>
        <v>1260</v>
      </c>
      <c r="N23" s="12">
        <f>Report_2025_Q4[[#This Row],[3 monthes  ORDER ]]*Report_2025_Q4[[#This Row],[cost by unit ]]</f>
        <v>1260</v>
      </c>
      <c r="O23" s="5"/>
      <c r="P23" s="5"/>
    </row>
    <row r="24" spans="1:16" s="6" customFormat="1" ht="15.6">
      <c r="A24" s="8"/>
      <c r="B24" s="9">
        <v>23</v>
      </c>
      <c r="C24" s="26" t="s">
        <v>40</v>
      </c>
      <c r="D24" s="22" t="s">
        <v>24</v>
      </c>
      <c r="E24" s="10">
        <v>10</v>
      </c>
      <c r="F24" s="11" t="s">
        <v>12</v>
      </c>
      <c r="G24" s="9">
        <v>0</v>
      </c>
      <c r="H24" s="10">
        <v>5</v>
      </c>
      <c r="I24" s="12">
        <f>Report_2025_Q4[[#This Row],[withdrawls villa ]]*Report_2025_Q4[[#This Row],[cost by unit ]]</f>
        <v>262.5</v>
      </c>
      <c r="J24" s="12">
        <v>5</v>
      </c>
      <c r="K24" s="12">
        <f>Report_2025_Q4[[#This Row],[withdrawls IBN ]]*Report_2025_Q4[[#This Row],[cost by unit ]]</f>
        <v>262.5</v>
      </c>
      <c r="L24" s="23">
        <v>52.5</v>
      </c>
      <c r="M24" s="13">
        <f>Report_2025_Q4[[#This Row],[cost villa ]]+Report_2025_Q4[[#This Row],[IBN cost ]]</f>
        <v>525</v>
      </c>
      <c r="N24" s="12">
        <f>Report_2025_Q4[[#This Row],[3 monthes  ORDER ]]*Report_2025_Q4[[#This Row],[cost by unit ]]</f>
        <v>525</v>
      </c>
      <c r="O24" s="5"/>
      <c r="P24" s="5"/>
    </row>
    <row r="25" spans="1:16" s="6" customFormat="1" ht="15.6">
      <c r="A25" s="8"/>
      <c r="B25" s="9">
        <v>24</v>
      </c>
      <c r="C25" s="26" t="s">
        <v>41</v>
      </c>
      <c r="D25" s="22" t="s">
        <v>24</v>
      </c>
      <c r="E25" s="10">
        <v>10</v>
      </c>
      <c r="F25" s="11" t="s">
        <v>12</v>
      </c>
      <c r="G25" s="9">
        <v>0</v>
      </c>
      <c r="H25" s="10">
        <v>5</v>
      </c>
      <c r="I25" s="12">
        <f>Report_2025_Q4[[#This Row],[withdrawls villa ]]*Report_2025_Q4[[#This Row],[cost by unit ]]</f>
        <v>262.5</v>
      </c>
      <c r="J25" s="12">
        <v>5</v>
      </c>
      <c r="K25" s="12">
        <f>Report_2025_Q4[[#This Row],[withdrawls IBN ]]*Report_2025_Q4[[#This Row],[cost by unit ]]</f>
        <v>262.5</v>
      </c>
      <c r="L25" s="23">
        <v>52.5</v>
      </c>
      <c r="M25" s="13">
        <f>Report_2025_Q4[[#This Row],[cost villa ]]+Report_2025_Q4[[#This Row],[IBN cost ]]</f>
        <v>525</v>
      </c>
      <c r="N25" s="12">
        <f>Report_2025_Q4[[#This Row],[3 monthes  ORDER ]]*Report_2025_Q4[[#This Row],[cost by unit ]]</f>
        <v>525</v>
      </c>
      <c r="O25" s="5"/>
      <c r="P25" s="5"/>
    </row>
    <row r="26" spans="1:16" s="6" customFormat="1" ht="15.6">
      <c r="A26" s="8"/>
      <c r="B26" s="9">
        <v>25</v>
      </c>
      <c r="C26" s="26" t="s">
        <v>42</v>
      </c>
      <c r="D26" s="22" t="s">
        <v>28</v>
      </c>
      <c r="E26" s="10">
        <v>2</v>
      </c>
      <c r="F26" s="11" t="s">
        <v>12</v>
      </c>
      <c r="G26" s="9">
        <v>0</v>
      </c>
      <c r="H26" s="10">
        <v>2</v>
      </c>
      <c r="I26" s="12">
        <f>Report_2025_Q4[[#This Row],[withdrawls villa ]]*Report_2025_Q4[[#This Row],[cost by unit ]]</f>
        <v>142.80000000000001</v>
      </c>
      <c r="J26" s="12">
        <v>0</v>
      </c>
      <c r="K26" s="12">
        <f>Report_2025_Q4[[#This Row],[withdrawls IBN ]]*Report_2025_Q4[[#This Row],[cost by unit ]]</f>
        <v>0</v>
      </c>
      <c r="L26" s="23">
        <v>71.400000000000006</v>
      </c>
      <c r="M26" s="13">
        <f>Report_2025_Q4[[#This Row],[cost villa ]]+Report_2025_Q4[[#This Row],[IBN cost ]]</f>
        <v>142.80000000000001</v>
      </c>
      <c r="N26" s="12">
        <f>Report_2025_Q4[[#This Row],[3 monthes  ORDER ]]*Report_2025_Q4[[#This Row],[cost by unit ]]</f>
        <v>142.80000000000001</v>
      </c>
      <c r="O26" s="5"/>
      <c r="P26" s="5"/>
    </row>
    <row r="27" spans="1:16" s="6" customFormat="1" ht="15.6">
      <c r="A27" s="8"/>
      <c r="B27" s="9">
        <v>26</v>
      </c>
      <c r="C27" s="26" t="s">
        <v>43</v>
      </c>
      <c r="D27" s="22" t="s">
        <v>24</v>
      </c>
      <c r="E27" s="10">
        <v>10</v>
      </c>
      <c r="F27" s="11" t="s">
        <v>12</v>
      </c>
      <c r="G27" s="9">
        <v>0</v>
      </c>
      <c r="H27" s="10">
        <v>5</v>
      </c>
      <c r="I27" s="12">
        <f>Report_2025_Q4[[#This Row],[withdrawls villa ]]*Report_2025_Q4[[#This Row],[cost by unit ]]</f>
        <v>301.875</v>
      </c>
      <c r="J27" s="12">
        <v>5</v>
      </c>
      <c r="K27" s="12">
        <f>Report_2025_Q4[[#This Row],[withdrawls IBN ]]*Report_2025_Q4[[#This Row],[cost by unit ]]</f>
        <v>301.875</v>
      </c>
      <c r="L27" s="23">
        <v>60.375</v>
      </c>
      <c r="M27" s="13">
        <f>Report_2025_Q4[[#This Row],[cost villa ]]+Report_2025_Q4[[#This Row],[IBN cost ]]</f>
        <v>603.75</v>
      </c>
      <c r="N27" s="12">
        <f>Report_2025_Q4[[#This Row],[3 monthes  ORDER ]]*Report_2025_Q4[[#This Row],[cost by unit ]]</f>
        <v>603.75</v>
      </c>
      <c r="O27" s="5"/>
      <c r="P27" s="5"/>
    </row>
    <row r="28" spans="1:16" s="6" customFormat="1" ht="15.6">
      <c r="A28" s="8"/>
      <c r="B28" s="9">
        <v>27</v>
      </c>
      <c r="C28" s="26" t="s">
        <v>44</v>
      </c>
      <c r="D28" s="22" t="s">
        <v>24</v>
      </c>
      <c r="E28" s="10">
        <v>5</v>
      </c>
      <c r="F28" s="11" t="s">
        <v>12</v>
      </c>
      <c r="G28" s="9">
        <v>0</v>
      </c>
      <c r="H28" s="10">
        <v>5</v>
      </c>
      <c r="I28" s="12">
        <f>Report_2025_Q4[[#This Row],[withdrawls villa ]]*Report_2025_Q4[[#This Row],[cost by unit ]]</f>
        <v>164.05</v>
      </c>
      <c r="J28" s="12">
        <v>0</v>
      </c>
      <c r="K28" s="12">
        <f>Report_2025_Q4[[#This Row],[withdrawls IBN ]]*Report_2025_Q4[[#This Row],[cost by unit ]]</f>
        <v>0</v>
      </c>
      <c r="L28" s="23">
        <v>32.81</v>
      </c>
      <c r="M28" s="13">
        <f>Report_2025_Q4[[#This Row],[cost villa ]]+Report_2025_Q4[[#This Row],[IBN cost ]]</f>
        <v>164.05</v>
      </c>
      <c r="N28" s="12">
        <f>Report_2025_Q4[[#This Row],[3 monthes  ORDER ]]*Report_2025_Q4[[#This Row],[cost by unit ]]</f>
        <v>164.05</v>
      </c>
      <c r="O28" s="5"/>
      <c r="P28" s="5"/>
    </row>
    <row r="29" spans="1:16" s="6" customFormat="1" ht="15.6">
      <c r="A29" s="8"/>
      <c r="B29" s="9">
        <v>28</v>
      </c>
      <c r="C29" s="26" t="s">
        <v>45</v>
      </c>
      <c r="D29" s="22" t="s">
        <v>28</v>
      </c>
      <c r="E29" s="10">
        <v>450</v>
      </c>
      <c r="F29" s="11" t="s">
        <v>12</v>
      </c>
      <c r="G29" s="9">
        <v>0</v>
      </c>
      <c r="H29" s="10">
        <v>400</v>
      </c>
      <c r="I29" s="12">
        <f>Report_2025_Q4[[#This Row],[withdrawls villa ]]*Report_2025_Q4[[#This Row],[cost by unit ]]</f>
        <v>5200</v>
      </c>
      <c r="J29" s="12">
        <v>50</v>
      </c>
      <c r="K29" s="12">
        <f>Report_2025_Q4[[#This Row],[withdrawls IBN ]]*Report_2025_Q4[[#This Row],[cost by unit ]]</f>
        <v>650</v>
      </c>
      <c r="L29" s="23">
        <v>13</v>
      </c>
      <c r="M29" s="13">
        <f>Report_2025_Q4[[#This Row],[cost villa ]]+Report_2025_Q4[[#This Row],[IBN cost ]]</f>
        <v>5850</v>
      </c>
      <c r="N29" s="12">
        <f>Report_2025_Q4[[#This Row],[3 monthes  ORDER ]]*Report_2025_Q4[[#This Row],[cost by unit ]]</f>
        <v>5850</v>
      </c>
      <c r="O29" s="5"/>
      <c r="P29" s="5"/>
    </row>
    <row r="30" spans="1:16" s="6" customFormat="1" ht="17.75">
      <c r="A30" s="8"/>
      <c r="B30" s="9">
        <v>29</v>
      </c>
      <c r="C30" s="27" t="s">
        <v>46</v>
      </c>
      <c r="D30" s="22" t="s">
        <v>14</v>
      </c>
      <c r="E30" s="10">
        <v>1</v>
      </c>
      <c r="F30" s="11" t="s">
        <v>12</v>
      </c>
      <c r="G30" s="9">
        <v>0</v>
      </c>
      <c r="H30" s="10">
        <v>1</v>
      </c>
      <c r="I30" s="12">
        <f>Report_2025_Q4[[#This Row],[withdrawls villa ]]*Report_2025_Q4[[#This Row],[cost by unit ]]</f>
        <v>45</v>
      </c>
      <c r="J30" s="12">
        <v>0</v>
      </c>
      <c r="K30" s="12">
        <f>Report_2025_Q4[[#This Row],[withdrawls IBN ]]*Report_2025_Q4[[#This Row],[cost by unit ]]</f>
        <v>0</v>
      </c>
      <c r="L30" s="28">
        <v>45</v>
      </c>
      <c r="M30" s="13">
        <f>Report_2025_Q4[[#This Row],[cost villa ]]+Report_2025_Q4[[#This Row],[IBN cost ]]</f>
        <v>45</v>
      </c>
      <c r="N30" s="12">
        <f>Report_2025_Q4[[#This Row],[3 monthes  ORDER ]]*Report_2025_Q4[[#This Row],[cost by unit ]]</f>
        <v>45</v>
      </c>
      <c r="O30" s="5"/>
      <c r="P30" s="5"/>
    </row>
    <row r="31" spans="1:16" s="6" customFormat="1" ht="17.75">
      <c r="A31" s="8"/>
      <c r="B31" s="9">
        <v>30</v>
      </c>
      <c r="C31" s="27" t="s">
        <v>47</v>
      </c>
      <c r="D31" s="22" t="s">
        <v>14</v>
      </c>
      <c r="E31" s="10">
        <v>1</v>
      </c>
      <c r="F31" s="11" t="s">
        <v>12</v>
      </c>
      <c r="G31" s="9">
        <v>0</v>
      </c>
      <c r="H31" s="10">
        <v>1</v>
      </c>
      <c r="I31" s="12">
        <f>Report_2025_Q4[[#This Row],[withdrawls villa ]]*Report_2025_Q4[[#This Row],[cost by unit ]]</f>
        <v>49</v>
      </c>
      <c r="J31" s="12">
        <v>0</v>
      </c>
      <c r="K31" s="12">
        <f>Report_2025_Q4[[#This Row],[withdrawls IBN ]]*Report_2025_Q4[[#This Row],[cost by unit ]]</f>
        <v>0</v>
      </c>
      <c r="L31" s="28">
        <v>49</v>
      </c>
      <c r="M31" s="13">
        <f>Report_2025_Q4[[#This Row],[cost villa ]]+Report_2025_Q4[[#This Row],[IBN cost ]]</f>
        <v>49</v>
      </c>
      <c r="N31" s="12">
        <f>Report_2025_Q4[[#This Row],[3 monthes  ORDER ]]*Report_2025_Q4[[#This Row],[cost by unit ]]</f>
        <v>49</v>
      </c>
      <c r="O31" s="5"/>
      <c r="P31" s="5"/>
    </row>
    <row r="32" spans="1:16" s="6" customFormat="1" ht="17.75">
      <c r="A32" s="8"/>
      <c r="B32" s="9">
        <v>31</v>
      </c>
      <c r="C32" s="27" t="s">
        <v>48</v>
      </c>
      <c r="D32" s="22" t="s">
        <v>14</v>
      </c>
      <c r="E32" s="10">
        <v>1</v>
      </c>
      <c r="F32" s="11" t="s">
        <v>12</v>
      </c>
      <c r="G32" s="9">
        <v>0</v>
      </c>
      <c r="H32" s="10">
        <v>1</v>
      </c>
      <c r="I32" s="12">
        <f>Report_2025_Q4[[#This Row],[withdrawls villa ]]*Report_2025_Q4[[#This Row],[cost by unit ]]</f>
        <v>14</v>
      </c>
      <c r="J32" s="12">
        <v>0</v>
      </c>
      <c r="K32" s="12">
        <f>Report_2025_Q4[[#This Row],[withdrawls IBN ]]*Report_2025_Q4[[#This Row],[cost by unit ]]</f>
        <v>0</v>
      </c>
      <c r="L32" s="28">
        <v>14</v>
      </c>
      <c r="M32" s="13">
        <f>Report_2025_Q4[[#This Row],[cost villa ]]+Report_2025_Q4[[#This Row],[IBN cost ]]</f>
        <v>14</v>
      </c>
      <c r="N32" s="12">
        <f>Report_2025_Q4[[#This Row],[3 monthes  ORDER ]]*Report_2025_Q4[[#This Row],[cost by unit ]]</f>
        <v>14</v>
      </c>
      <c r="O32" s="5"/>
      <c r="P32" s="5"/>
    </row>
    <row r="33" spans="1:24" s="6" customFormat="1" ht="17.75">
      <c r="A33" s="8"/>
      <c r="B33" s="9">
        <v>32</v>
      </c>
      <c r="C33" s="27" t="s">
        <v>49</v>
      </c>
      <c r="D33" s="22" t="s">
        <v>14</v>
      </c>
      <c r="E33" s="10">
        <v>10</v>
      </c>
      <c r="F33" s="11" t="s">
        <v>12</v>
      </c>
      <c r="G33" s="9">
        <v>0</v>
      </c>
      <c r="H33" s="10">
        <v>5</v>
      </c>
      <c r="I33" s="12">
        <f>Report_2025_Q4[[#This Row],[withdrawls villa ]]*Report_2025_Q4[[#This Row],[cost by unit ]]</f>
        <v>310</v>
      </c>
      <c r="J33" s="12">
        <v>5</v>
      </c>
      <c r="K33" s="12">
        <f>Report_2025_Q4[[#This Row],[withdrawls IBN ]]*Report_2025_Q4[[#This Row],[cost by unit ]]</f>
        <v>310</v>
      </c>
      <c r="L33" s="28">
        <v>62</v>
      </c>
      <c r="M33" s="13">
        <f>Report_2025_Q4[[#This Row],[cost villa ]]+Report_2025_Q4[[#This Row],[IBN cost ]]</f>
        <v>620</v>
      </c>
      <c r="N33" s="12">
        <f>Report_2025_Q4[[#This Row],[3 monthes  ORDER ]]*Report_2025_Q4[[#This Row],[cost by unit ]]</f>
        <v>620</v>
      </c>
      <c r="O33" s="5"/>
      <c r="P33" s="5"/>
    </row>
    <row r="34" spans="1:24" s="6" customFormat="1" ht="17.75">
      <c r="A34" s="8"/>
      <c r="B34" s="9">
        <v>33</v>
      </c>
      <c r="C34" s="27" t="s">
        <v>50</v>
      </c>
      <c r="D34" s="22" t="s">
        <v>14</v>
      </c>
      <c r="E34" s="10">
        <v>1</v>
      </c>
      <c r="F34" s="11" t="s">
        <v>12</v>
      </c>
      <c r="G34" s="9">
        <v>0</v>
      </c>
      <c r="H34" s="10">
        <v>1</v>
      </c>
      <c r="I34" s="12">
        <f>Report_2025_Q4[[#This Row],[withdrawls villa ]]*Report_2025_Q4[[#This Row],[cost by unit ]]</f>
        <v>39</v>
      </c>
      <c r="J34" s="12">
        <v>0</v>
      </c>
      <c r="K34" s="12">
        <f>Report_2025_Q4[[#This Row],[withdrawls IBN ]]*Report_2025_Q4[[#This Row],[cost by unit ]]</f>
        <v>0</v>
      </c>
      <c r="L34" s="28">
        <v>39</v>
      </c>
      <c r="M34" s="13">
        <f>Report_2025_Q4[[#This Row],[cost villa ]]+Report_2025_Q4[[#This Row],[IBN cost ]]</f>
        <v>39</v>
      </c>
      <c r="N34" s="12">
        <f>Report_2025_Q4[[#This Row],[3 monthes  ORDER ]]*Report_2025_Q4[[#This Row],[cost by unit ]]</f>
        <v>39</v>
      </c>
      <c r="O34" s="5"/>
      <c r="P34" s="5"/>
    </row>
    <row r="35" spans="1:24" s="6" customFormat="1" ht="17.75">
      <c r="A35" s="8"/>
      <c r="B35" s="9">
        <v>34</v>
      </c>
      <c r="C35" s="27" t="s">
        <v>51</v>
      </c>
      <c r="D35" s="22" t="s">
        <v>52</v>
      </c>
      <c r="E35" s="10">
        <v>20</v>
      </c>
      <c r="F35" s="11" t="s">
        <v>12</v>
      </c>
      <c r="G35" s="9">
        <v>0</v>
      </c>
      <c r="H35" s="10">
        <v>10</v>
      </c>
      <c r="I35" s="12">
        <f>Report_2025_Q4[[#This Row],[withdrawls villa ]]*Report_2025_Q4[[#This Row],[cost by unit ]]</f>
        <v>210</v>
      </c>
      <c r="J35" s="12">
        <v>10</v>
      </c>
      <c r="K35" s="12">
        <f>Report_2025_Q4[[#This Row],[withdrawls IBN ]]*Report_2025_Q4[[#This Row],[cost by unit ]]</f>
        <v>210</v>
      </c>
      <c r="L35" s="28">
        <v>21</v>
      </c>
      <c r="M35" s="13">
        <f>Report_2025_Q4[[#This Row],[cost villa ]]+Report_2025_Q4[[#This Row],[IBN cost ]]</f>
        <v>420</v>
      </c>
      <c r="N35" s="12">
        <f>Report_2025_Q4[[#This Row],[3 monthes  ORDER ]]*Report_2025_Q4[[#This Row],[cost by unit ]]</f>
        <v>420</v>
      </c>
      <c r="O35" s="5"/>
      <c r="P35" s="5"/>
    </row>
    <row r="36" spans="1:24" s="6" customFormat="1" ht="17.75">
      <c r="A36" s="8"/>
      <c r="B36" s="9">
        <v>35</v>
      </c>
      <c r="C36" s="27" t="s">
        <v>53</v>
      </c>
      <c r="D36" s="22" t="s">
        <v>28</v>
      </c>
      <c r="E36" s="10">
        <v>1</v>
      </c>
      <c r="F36" s="11" t="s">
        <v>12</v>
      </c>
      <c r="G36" s="9">
        <v>0</v>
      </c>
      <c r="H36" s="10">
        <v>1</v>
      </c>
      <c r="I36" s="12">
        <f>Report_2025_Q4[[#This Row],[withdrawls villa ]]*Report_2025_Q4[[#This Row],[cost by unit ]]</f>
        <v>30</v>
      </c>
      <c r="J36" s="12">
        <v>0</v>
      </c>
      <c r="K36" s="12">
        <f>Report_2025_Q4[[#This Row],[withdrawls IBN ]]*Report_2025_Q4[[#This Row],[cost by unit ]]</f>
        <v>0</v>
      </c>
      <c r="L36" s="28">
        <v>30</v>
      </c>
      <c r="M36" s="13">
        <f>Report_2025_Q4[[#This Row],[cost villa ]]+Report_2025_Q4[[#This Row],[IBN cost ]]</f>
        <v>30</v>
      </c>
      <c r="N36" s="12">
        <f>Report_2025_Q4[[#This Row],[3 monthes  ORDER ]]*Report_2025_Q4[[#This Row],[cost by unit ]]</f>
        <v>30</v>
      </c>
      <c r="O36" s="5"/>
      <c r="P36" s="5"/>
    </row>
    <row r="37" spans="1:24" s="6" customFormat="1" ht="15.6">
      <c r="A37" s="8"/>
      <c r="B37" s="9">
        <v>36</v>
      </c>
      <c r="C37" s="29" t="s">
        <v>54</v>
      </c>
      <c r="D37" s="22" t="s">
        <v>11</v>
      </c>
      <c r="E37" s="10">
        <v>90</v>
      </c>
      <c r="F37" s="11" t="s">
        <v>12</v>
      </c>
      <c r="G37" s="9">
        <v>0</v>
      </c>
      <c r="H37" s="10">
        <v>60</v>
      </c>
      <c r="I37" s="12">
        <f>Report_2025_Q4[[#This Row],[withdrawls villa ]]*Report_2025_Q4[[#This Row],[cost by unit ]]</f>
        <v>540</v>
      </c>
      <c r="J37" s="12">
        <v>30</v>
      </c>
      <c r="K37" s="12">
        <f>Report_2025_Q4[[#This Row],[withdrawls IBN ]]*Report_2025_Q4[[#This Row],[cost by unit ]]</f>
        <v>270</v>
      </c>
      <c r="L37" s="28">
        <v>9</v>
      </c>
      <c r="M37" s="13">
        <f>Report_2025_Q4[[#This Row],[cost villa ]]+Report_2025_Q4[[#This Row],[IBN cost ]]</f>
        <v>810</v>
      </c>
      <c r="N37" s="12">
        <f>Report_2025_Q4[[#This Row],[3 monthes  ORDER ]]*Report_2025_Q4[[#This Row],[cost by unit ]]</f>
        <v>810</v>
      </c>
      <c r="O37" s="5"/>
      <c r="P37" s="5"/>
    </row>
    <row r="38" spans="1:24" s="6" customFormat="1" ht="15.6">
      <c r="A38" s="8"/>
      <c r="B38" s="9">
        <v>37</v>
      </c>
      <c r="C38" s="30" t="s">
        <v>55</v>
      </c>
      <c r="D38" s="22" t="s">
        <v>14</v>
      </c>
      <c r="E38" s="10">
        <v>30</v>
      </c>
      <c r="F38" s="11" t="s">
        <v>12</v>
      </c>
      <c r="G38" s="9">
        <v>0</v>
      </c>
      <c r="H38" s="10">
        <v>15</v>
      </c>
      <c r="I38" s="12">
        <f>Report_2025_Q4[[#This Row],[withdrawls villa ]]*Report_2025_Q4[[#This Row],[cost by unit ]]</f>
        <v>150</v>
      </c>
      <c r="J38" s="12">
        <v>15</v>
      </c>
      <c r="K38" s="12">
        <f>Report_2025_Q4[[#This Row],[withdrawls IBN ]]*Report_2025_Q4[[#This Row],[cost by unit ]]</f>
        <v>150</v>
      </c>
      <c r="L38" s="28">
        <v>10</v>
      </c>
      <c r="M38" s="13">
        <f>Report_2025_Q4[[#This Row],[cost villa ]]+Report_2025_Q4[[#This Row],[IBN cost ]]</f>
        <v>300</v>
      </c>
      <c r="N38" s="12">
        <f>Report_2025_Q4[[#This Row],[3 monthes  ORDER ]]*Report_2025_Q4[[#This Row],[cost by unit ]]</f>
        <v>300</v>
      </c>
      <c r="O38" s="5"/>
      <c r="P38" s="5"/>
    </row>
    <row r="39" spans="1:24" s="6" customFormat="1" ht="15.6">
      <c r="A39" s="8"/>
      <c r="B39" s="9">
        <v>38</v>
      </c>
      <c r="C39" s="30" t="s">
        <v>56</v>
      </c>
      <c r="D39" s="22" t="s">
        <v>14</v>
      </c>
      <c r="E39" s="10">
        <v>20</v>
      </c>
      <c r="F39" s="11" t="s">
        <v>12</v>
      </c>
      <c r="G39" s="9">
        <v>0</v>
      </c>
      <c r="H39" s="10">
        <v>10</v>
      </c>
      <c r="I39" s="12">
        <f>Report_2025_Q4[[#This Row],[withdrawls villa ]]*Report_2025_Q4[[#This Row],[cost by unit ]]</f>
        <v>170</v>
      </c>
      <c r="J39" s="12">
        <v>10</v>
      </c>
      <c r="K39" s="12">
        <f>Report_2025_Q4[[#This Row],[withdrawls IBN ]]*Report_2025_Q4[[#This Row],[cost by unit ]]</f>
        <v>170</v>
      </c>
      <c r="L39" s="28">
        <v>17</v>
      </c>
      <c r="M39" s="13">
        <f>Report_2025_Q4[[#This Row],[cost villa ]]+Report_2025_Q4[[#This Row],[IBN cost ]]</f>
        <v>340</v>
      </c>
      <c r="N39" s="12">
        <f>Report_2025_Q4[[#This Row],[3 monthes  ORDER ]]*Report_2025_Q4[[#This Row],[cost by unit ]]</f>
        <v>340</v>
      </c>
      <c r="O39" s="5"/>
      <c r="P39" s="5"/>
    </row>
    <row r="40" spans="1:24" s="15" customFormat="1" ht="15.6">
      <c r="A40" s="8"/>
      <c r="B40" s="9">
        <v>39</v>
      </c>
      <c r="C40" s="31" t="s">
        <v>57</v>
      </c>
      <c r="D40" s="32" t="s">
        <v>11</v>
      </c>
      <c r="E40" s="10">
        <v>40</v>
      </c>
      <c r="F40" s="11" t="s">
        <v>12</v>
      </c>
      <c r="G40" s="9">
        <v>0</v>
      </c>
      <c r="H40" s="10">
        <v>20</v>
      </c>
      <c r="I40" s="12">
        <f>Report_2025_Q4[[#This Row],[withdrawls villa ]]*Report_2025_Q4[[#This Row],[cost by unit ]]</f>
        <v>365</v>
      </c>
      <c r="J40" s="12">
        <v>20</v>
      </c>
      <c r="K40" s="12">
        <f>Report_2025_Q4[[#This Row],[withdrawls IBN ]]*Report_2025_Q4[[#This Row],[cost by unit ]]</f>
        <v>365</v>
      </c>
      <c r="L40" s="13">
        <v>18.25</v>
      </c>
      <c r="M40" s="13">
        <f>Report_2025_Q4[[#This Row],[cost villa ]]+Report_2025_Q4[[#This Row],[IBN cost ]]</f>
        <v>730</v>
      </c>
      <c r="N40" s="12">
        <f>Report_2025_Q4[[#This Row],[3 monthes  ORDER ]]*Report_2025_Q4[[#This Row],[cost by unit ]]</f>
        <v>730</v>
      </c>
      <c r="O40" s="50"/>
      <c r="P40" s="50"/>
      <c r="Q40" s="51"/>
      <c r="R40" s="51"/>
      <c r="S40" s="51"/>
      <c r="T40" s="51"/>
      <c r="U40" s="51"/>
      <c r="V40" s="51"/>
      <c r="W40" s="51"/>
      <c r="X40" s="51"/>
    </row>
    <row r="41" spans="1:24" s="15" customFormat="1" ht="15.6">
      <c r="A41" s="8"/>
      <c r="B41" s="9">
        <v>40</v>
      </c>
      <c r="C41" s="31" t="s">
        <v>58</v>
      </c>
      <c r="D41" s="22" t="s">
        <v>16</v>
      </c>
      <c r="E41" s="10">
        <v>30</v>
      </c>
      <c r="F41" s="11" t="s">
        <v>12</v>
      </c>
      <c r="G41" s="9">
        <v>0</v>
      </c>
      <c r="H41" s="10">
        <v>15</v>
      </c>
      <c r="I41" s="12">
        <f>Report_2025_Q4[[#This Row],[withdrawls villa ]]*Report_2025_Q4[[#This Row],[cost by unit ]]</f>
        <v>300</v>
      </c>
      <c r="J41" s="12">
        <v>15</v>
      </c>
      <c r="K41" s="12">
        <f>Report_2025_Q4[[#This Row],[withdrawls IBN ]]*Report_2025_Q4[[#This Row],[cost by unit ]]</f>
        <v>300</v>
      </c>
      <c r="L41" s="13">
        <v>20</v>
      </c>
      <c r="M41" s="13">
        <f>Report_2025_Q4[[#This Row],[cost villa ]]+Report_2025_Q4[[#This Row],[IBN cost ]]</f>
        <v>600</v>
      </c>
      <c r="N41" s="12">
        <f>Report_2025_Q4[[#This Row],[3 monthes  ORDER ]]*Report_2025_Q4[[#This Row],[cost by unit ]]</f>
        <v>600</v>
      </c>
      <c r="O41" s="50"/>
      <c r="P41" s="50"/>
      <c r="Q41" s="51"/>
      <c r="R41" s="51"/>
      <c r="S41" s="51"/>
      <c r="T41" s="51"/>
      <c r="U41" s="51"/>
      <c r="V41" s="51"/>
      <c r="W41" s="51"/>
      <c r="X41" s="51"/>
    </row>
    <row r="42" spans="1:24" s="15" customFormat="1" ht="15.6">
      <c r="A42" s="8"/>
      <c r="B42" s="9">
        <v>41</v>
      </c>
      <c r="C42" s="31" t="s">
        <v>59</v>
      </c>
      <c r="D42" s="22" t="s">
        <v>16</v>
      </c>
      <c r="E42" s="10">
        <v>30</v>
      </c>
      <c r="F42" s="11" t="s">
        <v>12</v>
      </c>
      <c r="G42" s="9">
        <v>0</v>
      </c>
      <c r="H42" s="10">
        <v>15</v>
      </c>
      <c r="I42" s="12">
        <f>Report_2025_Q4[[#This Row],[withdrawls villa ]]*Report_2025_Q4[[#This Row],[cost by unit ]]</f>
        <v>195</v>
      </c>
      <c r="J42" s="12">
        <v>15</v>
      </c>
      <c r="K42" s="12">
        <f>Report_2025_Q4[[#This Row],[withdrawls IBN ]]*Report_2025_Q4[[#This Row],[cost by unit ]]</f>
        <v>195</v>
      </c>
      <c r="L42" s="13">
        <v>13</v>
      </c>
      <c r="M42" s="13">
        <f>Report_2025_Q4[[#This Row],[cost villa ]]+Report_2025_Q4[[#This Row],[IBN cost ]]</f>
        <v>390</v>
      </c>
      <c r="N42" s="12">
        <f>Report_2025_Q4[[#This Row],[3 monthes  ORDER ]]*Report_2025_Q4[[#This Row],[cost by unit ]]</f>
        <v>390</v>
      </c>
      <c r="O42" s="50"/>
      <c r="P42" s="50"/>
      <c r="Q42" s="51"/>
      <c r="R42" s="51"/>
      <c r="S42" s="51"/>
      <c r="T42" s="51"/>
      <c r="U42" s="51"/>
      <c r="V42" s="51"/>
      <c r="W42" s="51"/>
      <c r="X42" s="51"/>
    </row>
    <row r="43" spans="1:24" s="6" customFormat="1" ht="15.6">
      <c r="A43" s="8"/>
      <c r="B43" s="9">
        <v>42</v>
      </c>
      <c r="C43" s="30" t="s">
        <v>60</v>
      </c>
      <c r="D43" s="22" t="s">
        <v>11</v>
      </c>
      <c r="E43" s="10">
        <v>240</v>
      </c>
      <c r="F43" s="11" t="s">
        <v>12</v>
      </c>
      <c r="G43" s="9">
        <v>0</v>
      </c>
      <c r="H43" s="10">
        <v>200</v>
      </c>
      <c r="I43" s="12">
        <f>Report_2025_Q4[[#This Row],[withdrawls villa ]]*Report_2025_Q4[[#This Row],[cost by unit ]]</f>
        <v>6000</v>
      </c>
      <c r="J43" s="12">
        <v>40</v>
      </c>
      <c r="K43" s="12">
        <f>Report_2025_Q4[[#This Row],[withdrawls IBN ]]*Report_2025_Q4[[#This Row],[cost by unit ]]</f>
        <v>1200</v>
      </c>
      <c r="L43" s="28">
        <v>30</v>
      </c>
      <c r="M43" s="13">
        <f>Report_2025_Q4[[#This Row],[cost villa ]]+Report_2025_Q4[[#This Row],[IBN cost ]]</f>
        <v>7200</v>
      </c>
      <c r="N43" s="12">
        <f>Report_2025_Q4[[#This Row],[3 monthes  ORDER ]]*Report_2025_Q4[[#This Row],[cost by unit ]]</f>
        <v>7200</v>
      </c>
      <c r="O43" s="5"/>
      <c r="P43" s="5"/>
    </row>
    <row r="44" spans="1:24" s="6" customFormat="1" ht="15.6">
      <c r="A44" s="16"/>
      <c r="B44" s="9">
        <v>43</v>
      </c>
      <c r="C44" s="33" t="s">
        <v>61</v>
      </c>
      <c r="D44" s="22" t="s">
        <v>16</v>
      </c>
      <c r="E44" s="10">
        <v>20</v>
      </c>
      <c r="F44" s="11" t="s">
        <v>12</v>
      </c>
      <c r="G44" s="9">
        <v>0</v>
      </c>
      <c r="H44" s="10">
        <v>10</v>
      </c>
      <c r="I44" s="19">
        <f>Report_2025_Q4[[#This Row],[withdrawls villa ]]*Report_2025_Q4[[#This Row],[cost by unit ]]</f>
        <v>1100</v>
      </c>
      <c r="J44" s="12">
        <v>10</v>
      </c>
      <c r="K44" s="12">
        <f>Report_2025_Q4[[#This Row],[withdrawls IBN ]]*Report_2025_Q4[[#This Row],[cost by unit ]]</f>
        <v>1100</v>
      </c>
      <c r="L44" s="34">
        <v>110</v>
      </c>
      <c r="M44" s="13">
        <f>Report_2025_Q4[[#This Row],[cost villa ]]+Report_2025_Q4[[#This Row],[IBN cost ]]</f>
        <v>2200</v>
      </c>
      <c r="N44" s="12">
        <f>Report_2025_Q4[[#This Row],[3 monthes  ORDER ]]*Report_2025_Q4[[#This Row],[cost by unit ]]</f>
        <v>2200</v>
      </c>
      <c r="O44" s="5"/>
      <c r="P44" s="5"/>
    </row>
    <row r="45" spans="1:24" s="6" customFormat="1" ht="26.9">
      <c r="A45" s="8"/>
      <c r="B45" s="9">
        <v>44</v>
      </c>
      <c r="C45" s="35" t="s">
        <v>62</v>
      </c>
      <c r="D45" s="22" t="s">
        <v>28</v>
      </c>
      <c r="E45" s="10">
        <v>2</v>
      </c>
      <c r="F45" s="36" t="s">
        <v>63</v>
      </c>
      <c r="G45" s="9">
        <v>0</v>
      </c>
      <c r="H45" s="10">
        <v>1</v>
      </c>
      <c r="I45" s="12">
        <f>Report_2025_Q4[[#This Row],[withdrawls villa ]]*Report_2025_Q4[[#This Row],[cost by unit ]]</f>
        <v>260</v>
      </c>
      <c r="J45" s="12">
        <v>1</v>
      </c>
      <c r="K45" s="12">
        <f>Report_2025_Q4[[#This Row],[withdrawls IBN ]]*Report_2025_Q4[[#This Row],[cost by unit ]]</f>
        <v>260</v>
      </c>
      <c r="L45" s="28">
        <v>260</v>
      </c>
      <c r="M45" s="13">
        <f>Report_2025_Q4[[#This Row],[cost villa ]]+Report_2025_Q4[[#This Row],[IBN cost ]]</f>
        <v>520</v>
      </c>
      <c r="N45" s="12">
        <f>Report_2025_Q4[[#This Row],[3 monthes  ORDER ]]*Report_2025_Q4[[#This Row],[cost by unit ]]</f>
        <v>520</v>
      </c>
      <c r="O45" s="5"/>
      <c r="P45" s="5"/>
    </row>
    <row r="46" spans="1:24" s="15" customFormat="1" ht="26.9">
      <c r="A46" s="8"/>
      <c r="B46" s="9">
        <v>45</v>
      </c>
      <c r="C46" s="37" t="s">
        <v>64</v>
      </c>
      <c r="D46" s="22" t="s">
        <v>16</v>
      </c>
      <c r="E46" s="10">
        <v>120</v>
      </c>
      <c r="F46" s="36" t="s">
        <v>63</v>
      </c>
      <c r="G46" s="9">
        <v>0</v>
      </c>
      <c r="H46" s="10">
        <v>100</v>
      </c>
      <c r="I46" s="12">
        <f>Report_2025_Q4[[#This Row],[withdrawls villa ]]*Report_2025_Q4[[#This Row],[cost by unit ]]</f>
        <v>8000</v>
      </c>
      <c r="J46" s="12">
        <v>20</v>
      </c>
      <c r="K46" s="12">
        <f>Report_2025_Q4[[#This Row],[withdrawls IBN ]]*Report_2025_Q4[[#This Row],[cost by unit ]]</f>
        <v>1600</v>
      </c>
      <c r="L46" s="13">
        <v>80</v>
      </c>
      <c r="M46" s="13">
        <f>Report_2025_Q4[[#This Row],[cost villa ]]+Report_2025_Q4[[#This Row],[IBN cost ]]</f>
        <v>9600</v>
      </c>
      <c r="N46" s="24">
        <f>Report_2025_Q4[[#This Row],[3 monthes  ORDER ]]*Report_2025_Q4[[#This Row],[cost by unit ]]</f>
        <v>9600</v>
      </c>
      <c r="O46" s="50"/>
      <c r="P46" s="50"/>
      <c r="Q46" s="51"/>
      <c r="R46" s="51"/>
      <c r="S46" s="51"/>
      <c r="T46" s="51"/>
      <c r="U46" s="51"/>
      <c r="V46" s="51"/>
      <c r="W46" s="51"/>
      <c r="X46" s="51"/>
    </row>
    <row r="47" spans="1:24" s="15" customFormat="1" ht="26.9">
      <c r="A47" s="8"/>
      <c r="B47" s="9">
        <v>46</v>
      </c>
      <c r="C47" s="37" t="s">
        <v>65</v>
      </c>
      <c r="D47" s="22" t="s">
        <v>28</v>
      </c>
      <c r="E47" s="10">
        <v>15</v>
      </c>
      <c r="F47" s="36" t="s">
        <v>63</v>
      </c>
      <c r="G47" s="9">
        <v>0</v>
      </c>
      <c r="H47" s="10">
        <v>10</v>
      </c>
      <c r="I47" s="12">
        <f>Report_2025_Q4[[#This Row],[withdrawls villa ]]*Report_2025_Q4[[#This Row],[cost by unit ]]</f>
        <v>750</v>
      </c>
      <c r="J47" s="12">
        <v>5</v>
      </c>
      <c r="K47" s="12">
        <f>Report_2025_Q4[[#This Row],[withdrawls IBN ]]*Report_2025_Q4[[#This Row],[cost by unit ]]</f>
        <v>375</v>
      </c>
      <c r="L47" s="13">
        <v>75</v>
      </c>
      <c r="M47" s="13">
        <f>Report_2025_Q4[[#This Row],[cost villa ]]+Report_2025_Q4[[#This Row],[IBN cost ]]</f>
        <v>1125</v>
      </c>
      <c r="N47" s="12">
        <f>Report_2025_Q4[[#This Row],[3 monthes  ORDER ]]*Report_2025_Q4[[#This Row],[cost by unit ]]</f>
        <v>1125</v>
      </c>
      <c r="O47" s="50"/>
      <c r="P47" s="50"/>
      <c r="Q47" s="51"/>
      <c r="R47" s="51"/>
      <c r="S47" s="51"/>
      <c r="T47" s="51"/>
      <c r="U47" s="51"/>
      <c r="V47" s="51"/>
      <c r="W47" s="51"/>
      <c r="X47" s="51"/>
    </row>
    <row r="48" spans="1:24" s="15" customFormat="1" ht="26.9">
      <c r="A48" s="8"/>
      <c r="B48" s="9">
        <v>47</v>
      </c>
      <c r="C48" s="37" t="s">
        <v>66</v>
      </c>
      <c r="D48" s="22" t="s">
        <v>28</v>
      </c>
      <c r="E48" s="10">
        <v>15</v>
      </c>
      <c r="F48" s="36" t="s">
        <v>63</v>
      </c>
      <c r="G48" s="9">
        <v>0</v>
      </c>
      <c r="H48" s="10">
        <v>10</v>
      </c>
      <c r="I48" s="12">
        <f>Report_2025_Q4[[#This Row],[withdrawls villa ]]*Report_2025_Q4[[#This Row],[cost by unit ]]</f>
        <v>580</v>
      </c>
      <c r="J48" s="12">
        <v>5</v>
      </c>
      <c r="K48" s="12">
        <f>Report_2025_Q4[[#This Row],[withdrawls IBN ]]*Report_2025_Q4[[#This Row],[cost by unit ]]</f>
        <v>290</v>
      </c>
      <c r="L48" s="13">
        <v>58</v>
      </c>
      <c r="M48" s="13">
        <f>Report_2025_Q4[[#This Row],[cost villa ]]+Report_2025_Q4[[#This Row],[IBN cost ]]</f>
        <v>870</v>
      </c>
      <c r="N48" s="12">
        <f>Report_2025_Q4[[#This Row],[3 monthes  ORDER ]]*Report_2025_Q4[[#This Row],[cost by unit ]]</f>
        <v>870</v>
      </c>
      <c r="O48" s="50"/>
      <c r="P48" s="50"/>
      <c r="Q48" s="51"/>
      <c r="R48" s="51"/>
      <c r="S48" s="51"/>
      <c r="T48" s="51"/>
      <c r="U48" s="51"/>
      <c r="V48" s="51"/>
      <c r="W48" s="51"/>
      <c r="X48" s="51"/>
    </row>
    <row r="49" spans="1:24" s="15" customFormat="1" ht="26.9">
      <c r="A49" s="8"/>
      <c r="B49" s="9">
        <v>48</v>
      </c>
      <c r="C49" s="37" t="s">
        <v>67</v>
      </c>
      <c r="D49" s="22" t="s">
        <v>28</v>
      </c>
      <c r="E49" s="10">
        <v>15</v>
      </c>
      <c r="F49" s="36" t="s">
        <v>63</v>
      </c>
      <c r="G49" s="9">
        <v>0</v>
      </c>
      <c r="H49" s="10">
        <v>10</v>
      </c>
      <c r="I49" s="12">
        <f>Report_2025_Q4[[#This Row],[withdrawls villa ]]*Report_2025_Q4[[#This Row],[cost by unit ]]</f>
        <v>580</v>
      </c>
      <c r="J49" s="12">
        <v>5</v>
      </c>
      <c r="K49" s="12">
        <f>Report_2025_Q4[[#This Row],[withdrawls IBN ]]*Report_2025_Q4[[#This Row],[cost by unit ]]</f>
        <v>290</v>
      </c>
      <c r="L49" s="13">
        <v>58</v>
      </c>
      <c r="M49" s="13">
        <f>Report_2025_Q4[[#This Row],[cost villa ]]+Report_2025_Q4[[#This Row],[IBN cost ]]</f>
        <v>870</v>
      </c>
      <c r="N49" s="12">
        <f>Report_2025_Q4[[#This Row],[3 monthes  ORDER ]]*Report_2025_Q4[[#This Row],[cost by unit ]]</f>
        <v>870</v>
      </c>
      <c r="O49" s="50"/>
      <c r="P49" s="50"/>
      <c r="Q49" s="51"/>
      <c r="R49" s="51"/>
      <c r="S49" s="51"/>
      <c r="T49" s="51"/>
      <c r="U49" s="51"/>
      <c r="V49" s="51"/>
      <c r="W49" s="51"/>
      <c r="X49" s="51"/>
    </row>
    <row r="50" spans="1:24" s="15" customFormat="1" ht="26.9">
      <c r="A50" s="8"/>
      <c r="B50" s="9">
        <v>49</v>
      </c>
      <c r="C50" s="37" t="s">
        <v>68</v>
      </c>
      <c r="D50" s="22" t="s">
        <v>28</v>
      </c>
      <c r="E50" s="10">
        <v>20</v>
      </c>
      <c r="F50" s="36" t="s">
        <v>63</v>
      </c>
      <c r="G50" s="9">
        <v>0</v>
      </c>
      <c r="H50" s="10">
        <v>10</v>
      </c>
      <c r="I50" s="12">
        <f>Report_2025_Q4[[#This Row],[withdrawls villa ]]*Report_2025_Q4[[#This Row],[cost by unit ]]</f>
        <v>400</v>
      </c>
      <c r="J50" s="12">
        <v>10</v>
      </c>
      <c r="K50" s="12">
        <f>Report_2025_Q4[[#This Row],[withdrawls IBN ]]*Report_2025_Q4[[#This Row],[cost by unit ]]</f>
        <v>400</v>
      </c>
      <c r="L50" s="13">
        <v>40</v>
      </c>
      <c r="M50" s="13">
        <f>Report_2025_Q4[[#This Row],[cost villa ]]+Report_2025_Q4[[#This Row],[IBN cost ]]</f>
        <v>800</v>
      </c>
      <c r="N50" s="12">
        <f>Report_2025_Q4[[#This Row],[3 monthes  ORDER ]]*Report_2025_Q4[[#This Row],[cost by unit ]]</f>
        <v>800</v>
      </c>
      <c r="O50" s="50"/>
      <c r="P50" s="50"/>
      <c r="Q50" s="51"/>
      <c r="R50" s="51"/>
      <c r="S50" s="51"/>
      <c r="T50" s="51"/>
      <c r="U50" s="51"/>
      <c r="V50" s="51"/>
      <c r="W50" s="51"/>
      <c r="X50" s="51"/>
    </row>
    <row r="51" spans="1:24" s="15" customFormat="1" ht="26.9">
      <c r="A51" s="8"/>
      <c r="B51" s="9">
        <v>50</v>
      </c>
      <c r="C51" s="37" t="s">
        <v>69</v>
      </c>
      <c r="D51" s="22" t="s">
        <v>52</v>
      </c>
      <c r="E51" s="10">
        <v>15</v>
      </c>
      <c r="F51" s="36" t="s">
        <v>63</v>
      </c>
      <c r="G51" s="9">
        <v>0</v>
      </c>
      <c r="H51" s="10">
        <v>10</v>
      </c>
      <c r="I51" s="12">
        <f>Report_2025_Q4[[#This Row],[withdrawls villa ]]*Report_2025_Q4[[#This Row],[cost by unit ]]</f>
        <v>400</v>
      </c>
      <c r="J51" s="12">
        <v>5</v>
      </c>
      <c r="K51" s="12">
        <f>Report_2025_Q4[[#This Row],[withdrawls IBN ]]*Report_2025_Q4[[#This Row],[cost by unit ]]</f>
        <v>200</v>
      </c>
      <c r="L51" s="13">
        <v>40</v>
      </c>
      <c r="M51" s="13">
        <f>Report_2025_Q4[[#This Row],[cost villa ]]+Report_2025_Q4[[#This Row],[IBN cost ]]</f>
        <v>600</v>
      </c>
      <c r="N51" s="12">
        <f>Report_2025_Q4[[#This Row],[3 monthes  ORDER ]]*Report_2025_Q4[[#This Row],[cost by unit ]]</f>
        <v>600</v>
      </c>
      <c r="O51" s="50"/>
      <c r="P51" s="50"/>
      <c r="Q51" s="51"/>
      <c r="R51" s="51"/>
      <c r="S51" s="51"/>
      <c r="T51" s="51"/>
      <c r="U51" s="51"/>
      <c r="V51" s="51"/>
      <c r="W51" s="51"/>
      <c r="X51" s="51"/>
    </row>
    <row r="52" spans="1:24" s="15" customFormat="1" ht="26.9">
      <c r="A52" s="8"/>
      <c r="B52" s="9">
        <v>51</v>
      </c>
      <c r="C52" s="37" t="s">
        <v>70</v>
      </c>
      <c r="D52" s="22" t="s">
        <v>28</v>
      </c>
      <c r="E52" s="10">
        <v>15</v>
      </c>
      <c r="F52" s="36" t="s">
        <v>63</v>
      </c>
      <c r="G52" s="9">
        <v>0</v>
      </c>
      <c r="H52" s="10">
        <v>10</v>
      </c>
      <c r="I52" s="12">
        <f>Report_2025_Q4[[#This Row],[withdrawls villa ]]*Report_2025_Q4[[#This Row],[cost by unit ]]</f>
        <v>1100</v>
      </c>
      <c r="J52" s="12">
        <v>5</v>
      </c>
      <c r="K52" s="12">
        <f>Report_2025_Q4[[#This Row],[withdrawls IBN ]]*Report_2025_Q4[[#This Row],[cost by unit ]]</f>
        <v>550</v>
      </c>
      <c r="L52" s="13">
        <v>110</v>
      </c>
      <c r="M52" s="13">
        <f>Report_2025_Q4[[#This Row],[cost villa ]]+Report_2025_Q4[[#This Row],[IBN cost ]]</f>
        <v>1650</v>
      </c>
      <c r="N52" s="12">
        <f>Report_2025_Q4[[#This Row],[3 monthes  ORDER ]]*Report_2025_Q4[[#This Row],[cost by unit ]]</f>
        <v>1650</v>
      </c>
      <c r="O52" s="50"/>
      <c r="P52" s="50"/>
      <c r="Q52" s="51"/>
      <c r="R52" s="51"/>
      <c r="S52" s="51"/>
      <c r="T52" s="51"/>
      <c r="U52" s="51"/>
      <c r="V52" s="51"/>
      <c r="W52" s="51"/>
      <c r="X52" s="51"/>
    </row>
    <row r="53" spans="1:24" s="15" customFormat="1" ht="26.9">
      <c r="A53" s="8"/>
      <c r="B53" s="9">
        <v>52</v>
      </c>
      <c r="C53" s="37" t="s">
        <v>71</v>
      </c>
      <c r="D53" s="22" t="s">
        <v>28</v>
      </c>
      <c r="E53" s="10">
        <v>6</v>
      </c>
      <c r="F53" s="36" t="s">
        <v>63</v>
      </c>
      <c r="G53" s="9">
        <v>0</v>
      </c>
      <c r="H53" s="10">
        <v>4</v>
      </c>
      <c r="I53" s="12">
        <f>Report_2025_Q4[[#This Row],[withdrawls villa ]]*Report_2025_Q4[[#This Row],[cost by unit ]]</f>
        <v>160</v>
      </c>
      <c r="J53" s="12">
        <v>2</v>
      </c>
      <c r="K53" s="12">
        <f>Report_2025_Q4[[#This Row],[withdrawls IBN ]]*Report_2025_Q4[[#This Row],[cost by unit ]]</f>
        <v>80</v>
      </c>
      <c r="L53" s="13">
        <v>40</v>
      </c>
      <c r="M53" s="13">
        <f>Report_2025_Q4[[#This Row],[cost villa ]]+Report_2025_Q4[[#This Row],[IBN cost ]]</f>
        <v>240</v>
      </c>
      <c r="N53" s="12">
        <f>Report_2025_Q4[[#This Row],[3 monthes  ORDER ]]*Report_2025_Q4[[#This Row],[cost by unit ]]</f>
        <v>240</v>
      </c>
      <c r="O53" s="50"/>
      <c r="P53" s="50"/>
      <c r="Q53" s="51"/>
      <c r="R53" s="51"/>
      <c r="S53" s="51"/>
      <c r="T53" s="51"/>
      <c r="U53" s="51"/>
      <c r="V53" s="51"/>
      <c r="W53" s="51"/>
      <c r="X53" s="51"/>
    </row>
    <row r="54" spans="1:24" s="15" customFormat="1" ht="26.9">
      <c r="A54" s="8"/>
      <c r="B54" s="9">
        <v>53</v>
      </c>
      <c r="C54" s="37" t="s">
        <v>72</v>
      </c>
      <c r="D54" s="22" t="s">
        <v>28</v>
      </c>
      <c r="E54" s="10">
        <v>5</v>
      </c>
      <c r="F54" s="36" t="s">
        <v>63</v>
      </c>
      <c r="G54" s="9">
        <v>0</v>
      </c>
      <c r="H54" s="10">
        <v>3</v>
      </c>
      <c r="I54" s="12">
        <f>Report_2025_Q4[[#This Row],[withdrawls villa ]]*Report_2025_Q4[[#This Row],[cost by unit ]]</f>
        <v>435</v>
      </c>
      <c r="J54" s="12">
        <v>2</v>
      </c>
      <c r="K54" s="12">
        <f>Report_2025_Q4[[#This Row],[withdrawls IBN ]]*Report_2025_Q4[[#This Row],[cost by unit ]]</f>
        <v>290</v>
      </c>
      <c r="L54" s="13">
        <v>145</v>
      </c>
      <c r="M54" s="13">
        <f>Report_2025_Q4[[#This Row],[cost villa ]]+Report_2025_Q4[[#This Row],[IBN cost ]]</f>
        <v>725</v>
      </c>
      <c r="N54" s="12">
        <f>Report_2025_Q4[[#This Row],[3 monthes  ORDER ]]*Report_2025_Q4[[#This Row],[cost by unit ]]</f>
        <v>725</v>
      </c>
      <c r="O54" s="50"/>
      <c r="P54" s="50"/>
      <c r="Q54" s="51"/>
      <c r="R54" s="51"/>
      <c r="S54" s="51"/>
      <c r="T54" s="51"/>
      <c r="U54" s="51"/>
      <c r="V54" s="51"/>
      <c r="W54" s="51"/>
      <c r="X54" s="51"/>
    </row>
    <row r="55" spans="1:24" s="15" customFormat="1" ht="26.9">
      <c r="A55" s="8"/>
      <c r="B55" s="9">
        <v>54</v>
      </c>
      <c r="C55" s="37" t="s">
        <v>73</v>
      </c>
      <c r="D55" s="22" t="s">
        <v>28</v>
      </c>
      <c r="E55" s="10">
        <v>10</v>
      </c>
      <c r="F55" s="36" t="s">
        <v>63</v>
      </c>
      <c r="G55" s="9">
        <v>0</v>
      </c>
      <c r="H55" s="10">
        <v>5</v>
      </c>
      <c r="I55" s="12">
        <f>Report_2025_Q4[[#This Row],[withdrawls villa ]]*Report_2025_Q4[[#This Row],[cost by unit ]]</f>
        <v>640</v>
      </c>
      <c r="J55" s="12">
        <v>5</v>
      </c>
      <c r="K55" s="12">
        <f>Report_2025_Q4[[#This Row],[withdrawls IBN ]]*Report_2025_Q4[[#This Row],[cost by unit ]]</f>
        <v>640</v>
      </c>
      <c r="L55" s="13">
        <v>128</v>
      </c>
      <c r="M55" s="13">
        <f>Report_2025_Q4[[#This Row],[cost villa ]]+Report_2025_Q4[[#This Row],[IBN cost ]]</f>
        <v>1280</v>
      </c>
      <c r="N55" s="12">
        <f>Report_2025_Q4[[#This Row],[3 monthes  ORDER ]]*Report_2025_Q4[[#This Row],[cost by unit ]]</f>
        <v>1280</v>
      </c>
      <c r="O55" s="50"/>
      <c r="P55" s="50"/>
      <c r="Q55" s="51"/>
      <c r="R55" s="51"/>
      <c r="S55" s="51"/>
      <c r="T55" s="51"/>
      <c r="U55" s="51"/>
      <c r="V55" s="51"/>
      <c r="W55" s="51"/>
      <c r="X55" s="51"/>
    </row>
    <row r="56" spans="1:24" s="15" customFormat="1" ht="26.9">
      <c r="A56" s="8"/>
      <c r="B56" s="9">
        <v>55</v>
      </c>
      <c r="C56" s="37" t="s">
        <v>74</v>
      </c>
      <c r="D56" s="22" t="s">
        <v>52</v>
      </c>
      <c r="E56" s="10">
        <v>3</v>
      </c>
      <c r="F56" s="36" t="s">
        <v>63</v>
      </c>
      <c r="G56" s="9">
        <v>0</v>
      </c>
      <c r="H56" s="10">
        <v>2</v>
      </c>
      <c r="I56" s="12">
        <f>Report_2025_Q4[[#This Row],[withdrawls villa ]]*Report_2025_Q4[[#This Row],[cost by unit ]]</f>
        <v>9</v>
      </c>
      <c r="J56" s="12">
        <v>1</v>
      </c>
      <c r="K56" s="12">
        <f>Report_2025_Q4[[#This Row],[withdrawls IBN ]]*Report_2025_Q4[[#This Row],[cost by unit ]]</f>
        <v>4.5</v>
      </c>
      <c r="L56" s="13">
        <v>4.5</v>
      </c>
      <c r="M56" s="13">
        <f>Report_2025_Q4[[#This Row],[cost villa ]]+Report_2025_Q4[[#This Row],[IBN cost ]]</f>
        <v>13.5</v>
      </c>
      <c r="N56" s="12">
        <f>Report_2025_Q4[[#This Row],[3 monthes  ORDER ]]*Report_2025_Q4[[#This Row],[cost by unit ]]</f>
        <v>13.5</v>
      </c>
      <c r="O56" s="50"/>
      <c r="P56" s="50"/>
      <c r="Q56" s="51"/>
      <c r="R56" s="51"/>
      <c r="S56" s="51"/>
      <c r="T56" s="51"/>
      <c r="U56" s="51"/>
      <c r="V56" s="51"/>
      <c r="W56" s="51"/>
      <c r="X56" s="51"/>
    </row>
    <row r="57" spans="1:24" s="15" customFormat="1" ht="26.9">
      <c r="A57" s="8"/>
      <c r="B57" s="9">
        <v>56</v>
      </c>
      <c r="C57" s="37" t="s">
        <v>75</v>
      </c>
      <c r="D57" s="22" t="s">
        <v>28</v>
      </c>
      <c r="E57" s="10">
        <v>5</v>
      </c>
      <c r="F57" s="36" t="s">
        <v>63</v>
      </c>
      <c r="G57" s="9">
        <v>0</v>
      </c>
      <c r="H57" s="10">
        <v>5</v>
      </c>
      <c r="I57" s="12">
        <f>Report_2025_Q4[[#This Row],[withdrawls villa ]]*Report_2025_Q4[[#This Row],[cost by unit ]]</f>
        <v>300</v>
      </c>
      <c r="J57" s="12">
        <v>0</v>
      </c>
      <c r="K57" s="12">
        <f>Report_2025_Q4[[#This Row],[withdrawls IBN ]]*Report_2025_Q4[[#This Row],[cost by unit ]]</f>
        <v>0</v>
      </c>
      <c r="L57" s="13">
        <v>60</v>
      </c>
      <c r="M57" s="13">
        <f>Report_2025_Q4[[#This Row],[cost villa ]]+Report_2025_Q4[[#This Row],[IBN cost ]]</f>
        <v>300</v>
      </c>
      <c r="N57" s="12">
        <f>Report_2025_Q4[[#This Row],[3 monthes  ORDER ]]*Report_2025_Q4[[#This Row],[cost by unit ]]</f>
        <v>300</v>
      </c>
      <c r="O57" s="50"/>
      <c r="P57" s="50"/>
      <c r="Q57" s="51"/>
      <c r="R57" s="51"/>
      <c r="S57" s="51"/>
      <c r="T57" s="51"/>
      <c r="U57" s="51"/>
      <c r="V57" s="51"/>
      <c r="W57" s="51"/>
      <c r="X57" s="51"/>
    </row>
    <row r="58" spans="1:24" s="15" customFormat="1" ht="26.9">
      <c r="A58" s="16"/>
      <c r="B58" s="9">
        <v>57</v>
      </c>
      <c r="C58" s="37" t="s">
        <v>76</v>
      </c>
      <c r="D58" s="22" t="s">
        <v>28</v>
      </c>
      <c r="E58" s="10">
        <v>5</v>
      </c>
      <c r="F58" s="36" t="s">
        <v>63</v>
      </c>
      <c r="G58" s="9">
        <v>0</v>
      </c>
      <c r="H58" s="10">
        <v>5</v>
      </c>
      <c r="I58" s="19">
        <f>Report_2025_Q4[[#This Row],[withdrawls villa ]]*Report_2025_Q4[[#This Row],[cost by unit ]]</f>
        <v>225</v>
      </c>
      <c r="J58" s="12">
        <v>0</v>
      </c>
      <c r="K58" s="12">
        <f>Report_2025_Q4[[#This Row],[withdrawls IBN ]]*Report_2025_Q4[[#This Row],[cost by unit ]]</f>
        <v>0</v>
      </c>
      <c r="L58" s="13">
        <v>45</v>
      </c>
      <c r="M58" s="13">
        <f>Report_2025_Q4[[#This Row],[cost villa ]]+Report_2025_Q4[[#This Row],[IBN cost ]]</f>
        <v>225</v>
      </c>
      <c r="N58" s="20">
        <f>Report_2025_Q4[[#This Row],[3 monthes  ORDER ]]*Report_2025_Q4[[#This Row],[cost by unit ]]</f>
        <v>225</v>
      </c>
      <c r="O58" s="50"/>
      <c r="P58" s="50"/>
      <c r="Q58" s="51"/>
      <c r="R58" s="51"/>
      <c r="S58" s="51"/>
      <c r="T58" s="51"/>
      <c r="U58" s="51"/>
      <c r="V58" s="51"/>
      <c r="W58" s="51"/>
      <c r="X58" s="51"/>
    </row>
    <row r="59" spans="1:24" s="15" customFormat="1" ht="26.9">
      <c r="A59" s="16"/>
      <c r="B59" s="9">
        <v>58</v>
      </c>
      <c r="C59" s="37" t="s">
        <v>77</v>
      </c>
      <c r="D59" s="22" t="s">
        <v>28</v>
      </c>
      <c r="E59" s="10">
        <v>4</v>
      </c>
      <c r="F59" s="36" t="s">
        <v>63</v>
      </c>
      <c r="G59" s="9">
        <v>0</v>
      </c>
      <c r="H59" s="10">
        <v>4</v>
      </c>
      <c r="I59" s="19">
        <f>Report_2025_Q4[[#This Row],[withdrawls villa ]]*Report_2025_Q4[[#This Row],[cost by unit ]]</f>
        <v>280</v>
      </c>
      <c r="J59" s="12">
        <v>0</v>
      </c>
      <c r="K59" s="12">
        <f>Report_2025_Q4[[#This Row],[withdrawls IBN ]]*Report_2025_Q4[[#This Row],[cost by unit ]]</f>
        <v>0</v>
      </c>
      <c r="L59" s="13">
        <v>70</v>
      </c>
      <c r="M59" s="13">
        <f>Report_2025_Q4[[#This Row],[cost villa ]]+Report_2025_Q4[[#This Row],[IBN cost ]]</f>
        <v>280</v>
      </c>
      <c r="N59" s="20">
        <f>Report_2025_Q4[[#This Row],[3 monthes  ORDER ]]*Report_2025_Q4[[#This Row],[cost by unit ]]</f>
        <v>280</v>
      </c>
      <c r="O59" s="50"/>
      <c r="P59" s="50"/>
      <c r="Q59" s="51"/>
      <c r="R59" s="51"/>
      <c r="S59" s="51"/>
      <c r="T59" s="51"/>
      <c r="U59" s="51"/>
      <c r="V59" s="51"/>
      <c r="W59" s="51"/>
      <c r="X59" s="51"/>
    </row>
    <row r="60" spans="1:24" s="15" customFormat="1" ht="26.9">
      <c r="A60" s="8"/>
      <c r="B60" s="9">
        <v>59</v>
      </c>
      <c r="C60" s="32" t="s">
        <v>78</v>
      </c>
      <c r="D60" s="32" t="s">
        <v>11</v>
      </c>
      <c r="E60" s="10">
        <v>140</v>
      </c>
      <c r="F60" s="36" t="s">
        <v>63</v>
      </c>
      <c r="G60" s="9">
        <v>0</v>
      </c>
      <c r="H60" s="10">
        <v>100</v>
      </c>
      <c r="I60" s="12">
        <f>Report_2025_Q4[[#This Row],[withdrawls villa ]]*Report_2025_Q4[[#This Row],[cost by unit ]]</f>
        <v>1300</v>
      </c>
      <c r="J60" s="12">
        <v>40</v>
      </c>
      <c r="K60" s="12">
        <f>Report_2025_Q4[[#This Row],[withdrawls IBN ]]*Report_2025_Q4[[#This Row],[cost by unit ]]</f>
        <v>520</v>
      </c>
      <c r="L60" s="13">
        <v>13</v>
      </c>
      <c r="M60" s="13">
        <f>Report_2025_Q4[[#This Row],[cost villa ]]+Report_2025_Q4[[#This Row],[IBN cost ]]</f>
        <v>1820</v>
      </c>
      <c r="N60" s="12">
        <f>Report_2025_Q4[[#This Row],[3 monthes  ORDER ]]*Report_2025_Q4[[#This Row],[cost by unit ]]</f>
        <v>1820</v>
      </c>
      <c r="O60" s="50"/>
      <c r="P60" s="50"/>
      <c r="Q60" s="51"/>
      <c r="R60" s="51"/>
      <c r="S60" s="51"/>
      <c r="T60" s="51"/>
      <c r="U60" s="51"/>
      <c r="V60" s="51"/>
      <c r="W60" s="51"/>
      <c r="X60" s="51"/>
    </row>
    <row r="61" spans="1:24" s="15" customFormat="1" ht="26.9">
      <c r="A61" s="8"/>
      <c r="B61" s="9">
        <v>60</v>
      </c>
      <c r="C61" s="32" t="s">
        <v>79</v>
      </c>
      <c r="D61" s="22" t="s">
        <v>52</v>
      </c>
      <c r="E61" s="10">
        <v>10</v>
      </c>
      <c r="F61" s="36" t="s">
        <v>63</v>
      </c>
      <c r="G61" s="9">
        <v>0</v>
      </c>
      <c r="H61" s="10">
        <v>5</v>
      </c>
      <c r="I61" s="12">
        <f>Report_2025_Q4[[#This Row],[withdrawls villa ]]*Report_2025_Q4[[#This Row],[cost by unit ]]</f>
        <v>175</v>
      </c>
      <c r="J61" s="12">
        <v>5</v>
      </c>
      <c r="K61" s="12">
        <f>Report_2025_Q4[[#This Row],[withdrawls IBN ]]*Report_2025_Q4[[#This Row],[cost by unit ]]</f>
        <v>175</v>
      </c>
      <c r="L61" s="13">
        <v>35</v>
      </c>
      <c r="M61" s="13">
        <f>Report_2025_Q4[[#This Row],[cost villa ]]+Report_2025_Q4[[#This Row],[IBN cost ]]</f>
        <v>350</v>
      </c>
      <c r="N61" s="12">
        <f>Report_2025_Q4[[#This Row],[3 monthes  ORDER ]]*Report_2025_Q4[[#This Row],[cost by unit ]]</f>
        <v>350</v>
      </c>
      <c r="O61" s="50"/>
      <c r="P61" s="50"/>
      <c r="Q61" s="51"/>
      <c r="R61" s="51"/>
      <c r="S61" s="51"/>
      <c r="T61" s="51"/>
      <c r="U61" s="51"/>
      <c r="V61" s="51"/>
      <c r="W61" s="51"/>
      <c r="X61" s="51"/>
    </row>
    <row r="62" spans="1:24" s="15" customFormat="1" ht="26.9">
      <c r="A62" s="8"/>
      <c r="B62" s="9">
        <v>61</v>
      </c>
      <c r="C62" s="32" t="s">
        <v>80</v>
      </c>
      <c r="D62" s="22" t="s">
        <v>28</v>
      </c>
      <c r="E62" s="10">
        <v>40</v>
      </c>
      <c r="F62" s="36" t="s">
        <v>63</v>
      </c>
      <c r="G62" s="9">
        <v>0</v>
      </c>
      <c r="H62" s="10">
        <v>20</v>
      </c>
      <c r="I62" s="12">
        <f>Report_2025_Q4[[#This Row],[withdrawls villa ]]*Report_2025_Q4[[#This Row],[cost by unit ]]</f>
        <v>1600</v>
      </c>
      <c r="J62" s="12">
        <v>20</v>
      </c>
      <c r="K62" s="12">
        <f>Report_2025_Q4[[#This Row],[withdrawls IBN ]]*Report_2025_Q4[[#This Row],[cost by unit ]]</f>
        <v>1600</v>
      </c>
      <c r="L62" s="13">
        <v>80</v>
      </c>
      <c r="M62" s="13">
        <f>Report_2025_Q4[[#This Row],[cost villa ]]+Report_2025_Q4[[#This Row],[IBN cost ]]</f>
        <v>3200</v>
      </c>
      <c r="N62" s="12">
        <f>Report_2025_Q4[[#This Row],[3 monthes  ORDER ]]*Report_2025_Q4[[#This Row],[cost by unit ]]</f>
        <v>3200</v>
      </c>
      <c r="O62" s="50"/>
      <c r="P62" s="50"/>
      <c r="Q62" s="51"/>
      <c r="R62" s="51"/>
      <c r="S62" s="51"/>
      <c r="T62" s="51"/>
      <c r="U62" s="51"/>
      <c r="V62" s="51"/>
      <c r="W62" s="51"/>
      <c r="X62" s="51"/>
    </row>
    <row r="63" spans="1:24" s="15" customFormat="1" ht="26.9">
      <c r="A63" s="8"/>
      <c r="B63" s="9">
        <v>62</v>
      </c>
      <c r="C63" s="32" t="s">
        <v>81</v>
      </c>
      <c r="D63" s="22" t="s">
        <v>52</v>
      </c>
      <c r="E63" s="10">
        <v>60</v>
      </c>
      <c r="F63" s="36" t="s">
        <v>63</v>
      </c>
      <c r="G63" s="9">
        <v>0</v>
      </c>
      <c r="H63" s="10">
        <v>40</v>
      </c>
      <c r="I63" s="12">
        <f>Report_2025_Q4[[#This Row],[withdrawls villa ]]*Report_2025_Q4[[#This Row],[cost by unit ]]</f>
        <v>3600</v>
      </c>
      <c r="J63" s="12">
        <v>20</v>
      </c>
      <c r="K63" s="12">
        <f>Report_2025_Q4[[#This Row],[withdrawls IBN ]]*Report_2025_Q4[[#This Row],[cost by unit ]]</f>
        <v>1800</v>
      </c>
      <c r="L63" s="13">
        <v>90</v>
      </c>
      <c r="M63" s="13">
        <f>Report_2025_Q4[[#This Row],[cost villa ]]+Report_2025_Q4[[#This Row],[IBN cost ]]</f>
        <v>5400</v>
      </c>
      <c r="N63" s="12">
        <f>Report_2025_Q4[[#This Row],[3 monthes  ORDER ]]*Report_2025_Q4[[#This Row],[cost by unit ]]</f>
        <v>5400</v>
      </c>
      <c r="O63" s="50"/>
      <c r="P63" s="50"/>
      <c r="Q63" s="51"/>
      <c r="R63" s="51"/>
      <c r="S63" s="51"/>
      <c r="T63" s="51"/>
      <c r="U63" s="51"/>
      <c r="V63" s="51"/>
      <c r="W63" s="51"/>
      <c r="X63" s="51"/>
    </row>
    <row r="64" spans="1:24" s="15" customFormat="1" ht="26.9">
      <c r="A64" s="8"/>
      <c r="B64" s="9">
        <v>63</v>
      </c>
      <c r="C64" s="32" t="s">
        <v>82</v>
      </c>
      <c r="D64" s="22" t="s">
        <v>28</v>
      </c>
      <c r="E64" s="10">
        <v>20</v>
      </c>
      <c r="F64" s="36" t="s">
        <v>63</v>
      </c>
      <c r="G64" s="9">
        <v>0</v>
      </c>
      <c r="H64" s="10">
        <v>10</v>
      </c>
      <c r="I64" s="12">
        <f>Report_2025_Q4[[#This Row],[withdrawls villa ]]*Report_2025_Q4[[#This Row],[cost by unit ]]</f>
        <v>1950</v>
      </c>
      <c r="J64" s="12">
        <v>10</v>
      </c>
      <c r="K64" s="12">
        <f>Report_2025_Q4[[#This Row],[withdrawls IBN ]]*Report_2025_Q4[[#This Row],[cost by unit ]]</f>
        <v>1950</v>
      </c>
      <c r="L64" s="13">
        <v>195</v>
      </c>
      <c r="M64" s="13">
        <f>Report_2025_Q4[[#This Row],[cost villa ]]+Report_2025_Q4[[#This Row],[IBN cost ]]</f>
        <v>3900</v>
      </c>
      <c r="N64" s="12">
        <f>Report_2025_Q4[[#This Row],[3 monthes  ORDER ]]*Report_2025_Q4[[#This Row],[cost by unit ]]</f>
        <v>3900</v>
      </c>
      <c r="O64" s="50"/>
      <c r="P64" s="50"/>
      <c r="Q64" s="51"/>
      <c r="R64" s="51"/>
      <c r="S64" s="51"/>
      <c r="T64" s="51"/>
      <c r="U64" s="51"/>
      <c r="V64" s="51"/>
      <c r="W64" s="51"/>
      <c r="X64" s="51"/>
    </row>
    <row r="65" spans="1:24" s="15" customFormat="1" ht="26.9">
      <c r="A65" s="8"/>
      <c r="B65" s="9">
        <v>64</v>
      </c>
      <c r="C65" s="32" t="s">
        <v>83</v>
      </c>
      <c r="D65" s="32" t="s">
        <v>11</v>
      </c>
      <c r="E65" s="10">
        <v>20</v>
      </c>
      <c r="F65" s="36" t="s">
        <v>63</v>
      </c>
      <c r="G65" s="9">
        <v>0</v>
      </c>
      <c r="H65" s="10">
        <v>10</v>
      </c>
      <c r="I65" s="12">
        <f>Report_2025_Q4[[#This Row],[withdrawls villa ]]*Report_2025_Q4[[#This Row],[cost by unit ]]</f>
        <v>560</v>
      </c>
      <c r="J65" s="12">
        <v>10</v>
      </c>
      <c r="K65" s="12">
        <f>Report_2025_Q4[[#This Row],[withdrawls IBN ]]*Report_2025_Q4[[#This Row],[cost by unit ]]</f>
        <v>560</v>
      </c>
      <c r="L65" s="13">
        <v>56</v>
      </c>
      <c r="M65" s="13">
        <f>Report_2025_Q4[[#This Row],[cost villa ]]+Report_2025_Q4[[#This Row],[IBN cost ]]</f>
        <v>1120</v>
      </c>
      <c r="N65" s="12">
        <f>Report_2025_Q4[[#This Row],[3 monthes  ORDER ]]*Report_2025_Q4[[#This Row],[cost by unit ]]</f>
        <v>1120</v>
      </c>
      <c r="O65" s="50"/>
      <c r="P65" s="50"/>
      <c r="Q65" s="51"/>
      <c r="R65" s="51"/>
      <c r="S65" s="51"/>
      <c r="T65" s="51"/>
      <c r="U65" s="51"/>
      <c r="V65" s="51"/>
      <c r="W65" s="51"/>
      <c r="X65" s="51"/>
    </row>
    <row r="66" spans="1:24" s="15" customFormat="1" ht="26.9">
      <c r="A66" s="8"/>
      <c r="B66" s="9">
        <v>65</v>
      </c>
      <c r="C66" s="32" t="s">
        <v>84</v>
      </c>
      <c r="D66" s="22" t="s">
        <v>28</v>
      </c>
      <c r="E66" s="10">
        <v>30</v>
      </c>
      <c r="F66" s="36" t="s">
        <v>63</v>
      </c>
      <c r="G66" s="9">
        <v>0</v>
      </c>
      <c r="H66" s="10">
        <v>15</v>
      </c>
      <c r="I66" s="12">
        <f>Report_2025_Q4[[#This Row],[withdrawls villa ]]*Report_2025_Q4[[#This Row],[cost by unit ]]</f>
        <v>750</v>
      </c>
      <c r="J66" s="12">
        <v>15</v>
      </c>
      <c r="K66" s="12">
        <f>Report_2025_Q4[[#This Row],[withdrawls IBN ]]*Report_2025_Q4[[#This Row],[cost by unit ]]</f>
        <v>750</v>
      </c>
      <c r="L66" s="13">
        <v>50</v>
      </c>
      <c r="M66" s="13">
        <f>Report_2025_Q4[[#This Row],[cost villa ]]+Report_2025_Q4[[#This Row],[IBN cost ]]</f>
        <v>1500</v>
      </c>
      <c r="N66" s="12">
        <f>Report_2025_Q4[[#This Row],[3 monthes  ORDER ]]*Report_2025_Q4[[#This Row],[cost by unit ]]</f>
        <v>1500</v>
      </c>
      <c r="O66" s="50"/>
      <c r="P66" s="50"/>
      <c r="Q66" s="51"/>
      <c r="R66" s="51"/>
      <c r="S66" s="51"/>
      <c r="T66" s="51"/>
      <c r="U66" s="51"/>
      <c r="V66" s="51"/>
      <c r="W66" s="51"/>
      <c r="X66" s="51"/>
    </row>
    <row r="67" spans="1:24" s="15" customFormat="1" ht="26.9">
      <c r="A67" s="8"/>
      <c r="B67" s="9">
        <v>66</v>
      </c>
      <c r="C67" s="32" t="s">
        <v>85</v>
      </c>
      <c r="D67" s="32" t="s">
        <v>11</v>
      </c>
      <c r="E67" s="10">
        <v>15</v>
      </c>
      <c r="F67" s="36" t="s">
        <v>63</v>
      </c>
      <c r="G67" s="9">
        <v>0</v>
      </c>
      <c r="H67" s="10">
        <v>10</v>
      </c>
      <c r="I67" s="12">
        <f>Report_2025_Q4[[#This Row],[withdrawls villa ]]*Report_2025_Q4[[#This Row],[cost by unit ]]</f>
        <v>90</v>
      </c>
      <c r="J67" s="12">
        <v>5</v>
      </c>
      <c r="K67" s="12">
        <f>Report_2025_Q4[[#This Row],[withdrawls IBN ]]*Report_2025_Q4[[#This Row],[cost by unit ]]</f>
        <v>45</v>
      </c>
      <c r="L67" s="13">
        <v>9</v>
      </c>
      <c r="M67" s="13">
        <f>Report_2025_Q4[[#This Row],[cost villa ]]+Report_2025_Q4[[#This Row],[IBN cost ]]</f>
        <v>135</v>
      </c>
      <c r="N67" s="12">
        <f>Report_2025_Q4[[#This Row],[3 monthes  ORDER ]]*Report_2025_Q4[[#This Row],[cost by unit ]]</f>
        <v>135</v>
      </c>
      <c r="O67" s="50"/>
      <c r="P67" s="50"/>
      <c r="Q67" s="51"/>
      <c r="R67" s="51"/>
      <c r="S67" s="51"/>
      <c r="T67" s="51"/>
      <c r="U67" s="51"/>
      <c r="V67" s="51"/>
      <c r="W67" s="51"/>
      <c r="X67" s="51"/>
    </row>
    <row r="68" spans="1:24" s="15" customFormat="1" ht="26.9">
      <c r="A68" s="8"/>
      <c r="B68" s="9">
        <v>67</v>
      </c>
      <c r="C68" s="32" t="s">
        <v>86</v>
      </c>
      <c r="D68" s="32" t="s">
        <v>14</v>
      </c>
      <c r="E68" s="10">
        <v>200</v>
      </c>
      <c r="F68" s="36" t="s">
        <v>63</v>
      </c>
      <c r="G68" s="9">
        <v>0</v>
      </c>
      <c r="H68" s="10">
        <v>150</v>
      </c>
      <c r="I68" s="12">
        <f>Report_2025_Q4[[#This Row],[withdrawls villa ]]*Report_2025_Q4[[#This Row],[cost by unit ]]</f>
        <v>1950</v>
      </c>
      <c r="J68" s="12">
        <v>50</v>
      </c>
      <c r="K68" s="12">
        <f>Report_2025_Q4[[#This Row],[withdrawls IBN ]]*Report_2025_Q4[[#This Row],[cost by unit ]]</f>
        <v>650</v>
      </c>
      <c r="L68" s="13">
        <v>13</v>
      </c>
      <c r="M68" s="13">
        <f>Report_2025_Q4[[#This Row],[cost villa ]]+Report_2025_Q4[[#This Row],[IBN cost ]]</f>
        <v>2600</v>
      </c>
      <c r="N68" s="12">
        <f>Report_2025_Q4[[#This Row],[3 monthes  ORDER ]]*Report_2025_Q4[[#This Row],[cost by unit ]]</f>
        <v>2600</v>
      </c>
      <c r="O68" s="50"/>
      <c r="P68" s="50"/>
      <c r="Q68" s="51"/>
      <c r="R68" s="51"/>
      <c r="S68" s="51"/>
      <c r="T68" s="51"/>
      <c r="U68" s="51"/>
      <c r="V68" s="51"/>
      <c r="W68" s="51"/>
      <c r="X68" s="51"/>
    </row>
    <row r="69" spans="1:24" s="15" customFormat="1" ht="26.9">
      <c r="A69" s="8"/>
      <c r="B69" s="9">
        <v>68</v>
      </c>
      <c r="C69" s="32" t="s">
        <v>87</v>
      </c>
      <c r="D69" s="22" t="s">
        <v>28</v>
      </c>
      <c r="E69" s="10">
        <v>30</v>
      </c>
      <c r="F69" s="36" t="s">
        <v>63</v>
      </c>
      <c r="G69" s="9">
        <v>0</v>
      </c>
      <c r="H69" s="10">
        <v>15</v>
      </c>
      <c r="I69" s="12">
        <f>Report_2025_Q4[[#This Row],[withdrawls villa ]]*Report_2025_Q4[[#This Row],[cost by unit ]]</f>
        <v>1035</v>
      </c>
      <c r="J69" s="12">
        <v>15</v>
      </c>
      <c r="K69" s="12">
        <f>Report_2025_Q4[[#This Row],[withdrawls IBN ]]*Report_2025_Q4[[#This Row],[cost by unit ]]</f>
        <v>1035</v>
      </c>
      <c r="L69" s="13">
        <v>69</v>
      </c>
      <c r="M69" s="13">
        <f>Report_2025_Q4[[#This Row],[cost villa ]]+Report_2025_Q4[[#This Row],[IBN cost ]]</f>
        <v>2070</v>
      </c>
      <c r="N69" s="12">
        <f>Report_2025_Q4[[#This Row],[3 monthes  ORDER ]]*Report_2025_Q4[[#This Row],[cost by unit ]]</f>
        <v>2070</v>
      </c>
      <c r="O69" s="50"/>
      <c r="P69" s="50"/>
      <c r="Q69" s="51"/>
      <c r="R69" s="51"/>
      <c r="S69" s="51"/>
      <c r="T69" s="51"/>
      <c r="U69" s="51"/>
      <c r="V69" s="51"/>
      <c r="W69" s="51"/>
      <c r="X69" s="51"/>
    </row>
    <row r="70" spans="1:24" s="15" customFormat="1" ht="26.9">
      <c r="A70" s="8"/>
      <c r="B70" s="9">
        <v>69</v>
      </c>
      <c r="C70" s="37" t="s">
        <v>88</v>
      </c>
      <c r="D70" s="32" t="s">
        <v>11</v>
      </c>
      <c r="E70" s="10">
        <v>80</v>
      </c>
      <c r="F70" s="36" t="s">
        <v>63</v>
      </c>
      <c r="G70" s="9">
        <v>0</v>
      </c>
      <c r="H70" s="10">
        <v>60</v>
      </c>
      <c r="I70" s="12">
        <f>Report_2025_Q4[[#This Row],[withdrawls villa ]]*Report_2025_Q4[[#This Row],[cost by unit ]]</f>
        <v>1320</v>
      </c>
      <c r="J70" s="12">
        <v>20</v>
      </c>
      <c r="K70" s="12">
        <f>Report_2025_Q4[[#This Row],[withdrawls IBN ]]*Report_2025_Q4[[#This Row],[cost by unit ]]</f>
        <v>440</v>
      </c>
      <c r="L70" s="13">
        <v>22</v>
      </c>
      <c r="M70" s="13">
        <f>Report_2025_Q4[[#This Row],[cost villa ]]+Report_2025_Q4[[#This Row],[IBN cost ]]</f>
        <v>1760</v>
      </c>
      <c r="N70" s="12">
        <f>Report_2025_Q4[[#This Row],[3 monthes  ORDER ]]*Report_2025_Q4[[#This Row],[cost by unit ]]</f>
        <v>1760</v>
      </c>
      <c r="O70" s="50"/>
      <c r="P70" s="50"/>
      <c r="Q70" s="51"/>
      <c r="R70" s="51"/>
      <c r="S70" s="51"/>
      <c r="T70" s="51"/>
      <c r="U70" s="51"/>
      <c r="V70" s="51"/>
      <c r="W70" s="51"/>
      <c r="X70" s="51"/>
    </row>
    <row r="71" spans="1:24" s="15" customFormat="1" ht="26.9">
      <c r="A71" s="8"/>
      <c r="B71" s="9">
        <v>70</v>
      </c>
      <c r="C71" s="37" t="s">
        <v>89</v>
      </c>
      <c r="D71" s="22" t="s">
        <v>28</v>
      </c>
      <c r="E71" s="10">
        <v>15</v>
      </c>
      <c r="F71" s="36" t="s">
        <v>63</v>
      </c>
      <c r="G71" s="9">
        <v>0</v>
      </c>
      <c r="H71" s="10">
        <v>10</v>
      </c>
      <c r="I71" s="12">
        <f>Report_2025_Q4[[#This Row],[withdrawls villa ]]*Report_2025_Q4[[#This Row],[cost by unit ]]</f>
        <v>600</v>
      </c>
      <c r="J71" s="12">
        <v>5</v>
      </c>
      <c r="K71" s="12">
        <f>Report_2025_Q4[[#This Row],[withdrawls IBN ]]*Report_2025_Q4[[#This Row],[cost by unit ]]</f>
        <v>300</v>
      </c>
      <c r="L71" s="13">
        <v>60</v>
      </c>
      <c r="M71" s="13">
        <f>Report_2025_Q4[[#This Row],[cost villa ]]+Report_2025_Q4[[#This Row],[IBN cost ]]</f>
        <v>900</v>
      </c>
      <c r="N71" s="12">
        <f>Report_2025_Q4[[#This Row],[3 monthes  ORDER ]]*Report_2025_Q4[[#This Row],[cost by unit ]]</f>
        <v>900</v>
      </c>
      <c r="O71" s="50"/>
      <c r="P71" s="50"/>
      <c r="Q71" s="51"/>
      <c r="R71" s="51"/>
      <c r="S71" s="51"/>
      <c r="T71" s="51"/>
      <c r="U71" s="51"/>
      <c r="V71" s="51"/>
      <c r="W71" s="51"/>
      <c r="X71" s="51"/>
    </row>
    <row r="72" spans="1:24" s="15" customFormat="1" ht="26.9">
      <c r="A72" s="8"/>
      <c r="B72" s="9">
        <v>71</v>
      </c>
      <c r="C72" s="37" t="s">
        <v>90</v>
      </c>
      <c r="D72" s="22" t="s">
        <v>28</v>
      </c>
      <c r="E72" s="10">
        <v>20</v>
      </c>
      <c r="F72" s="36" t="s">
        <v>63</v>
      </c>
      <c r="G72" s="9">
        <v>0</v>
      </c>
      <c r="H72" s="10">
        <v>10</v>
      </c>
      <c r="I72" s="12">
        <f>Report_2025_Q4[[#This Row],[withdrawls villa ]]*Report_2025_Q4[[#This Row],[cost by unit ]]</f>
        <v>1080</v>
      </c>
      <c r="J72" s="12">
        <v>10</v>
      </c>
      <c r="K72" s="12">
        <f>Report_2025_Q4[[#This Row],[withdrawls IBN ]]*Report_2025_Q4[[#This Row],[cost by unit ]]</f>
        <v>1080</v>
      </c>
      <c r="L72" s="13">
        <v>108</v>
      </c>
      <c r="M72" s="13">
        <f>Report_2025_Q4[[#This Row],[cost villa ]]+Report_2025_Q4[[#This Row],[IBN cost ]]</f>
        <v>2160</v>
      </c>
      <c r="N72" s="12">
        <f>Report_2025_Q4[[#This Row],[3 monthes  ORDER ]]*Report_2025_Q4[[#This Row],[cost by unit ]]</f>
        <v>2160</v>
      </c>
      <c r="O72" s="50"/>
      <c r="P72" s="50"/>
      <c r="Q72" s="51"/>
      <c r="R72" s="51"/>
      <c r="S72" s="51"/>
      <c r="T72" s="51"/>
      <c r="U72" s="51"/>
      <c r="V72" s="51"/>
      <c r="W72" s="51"/>
      <c r="X72" s="51"/>
    </row>
    <row r="73" spans="1:24" s="15" customFormat="1" ht="26.9">
      <c r="A73" s="8"/>
      <c r="B73" s="9">
        <v>72</v>
      </c>
      <c r="C73" s="37" t="s">
        <v>91</v>
      </c>
      <c r="D73" s="22" t="s">
        <v>28</v>
      </c>
      <c r="E73" s="10">
        <v>10</v>
      </c>
      <c r="F73" s="36" t="s">
        <v>63</v>
      </c>
      <c r="G73" s="9">
        <v>0</v>
      </c>
      <c r="H73" s="10">
        <v>5</v>
      </c>
      <c r="I73" s="12">
        <f>Report_2025_Q4[[#This Row],[withdrawls villa ]]*Report_2025_Q4[[#This Row],[cost by unit ]]</f>
        <v>400</v>
      </c>
      <c r="J73" s="12">
        <v>5</v>
      </c>
      <c r="K73" s="12">
        <f>Report_2025_Q4[[#This Row],[withdrawls IBN ]]*Report_2025_Q4[[#This Row],[cost by unit ]]</f>
        <v>400</v>
      </c>
      <c r="L73" s="13">
        <v>80</v>
      </c>
      <c r="M73" s="13">
        <f>Report_2025_Q4[[#This Row],[cost villa ]]+Report_2025_Q4[[#This Row],[IBN cost ]]</f>
        <v>800</v>
      </c>
      <c r="N73" s="12">
        <f>Report_2025_Q4[[#This Row],[3 monthes  ORDER ]]*Report_2025_Q4[[#This Row],[cost by unit ]]</f>
        <v>800</v>
      </c>
      <c r="O73" s="50"/>
      <c r="P73" s="50"/>
      <c r="Q73" s="51"/>
      <c r="R73" s="51"/>
      <c r="S73" s="51"/>
      <c r="T73" s="51"/>
      <c r="U73" s="51"/>
      <c r="V73" s="51"/>
      <c r="W73" s="51"/>
      <c r="X73" s="51"/>
    </row>
    <row r="74" spans="1:24" s="15" customFormat="1" ht="26.9">
      <c r="A74" s="8"/>
      <c r="B74" s="9">
        <v>73</v>
      </c>
      <c r="C74" s="32" t="s">
        <v>92</v>
      </c>
      <c r="D74" s="32" t="s">
        <v>11</v>
      </c>
      <c r="E74" s="10">
        <v>30</v>
      </c>
      <c r="F74" s="36" t="s">
        <v>63</v>
      </c>
      <c r="G74" s="9">
        <v>0</v>
      </c>
      <c r="H74" s="10">
        <v>15</v>
      </c>
      <c r="I74" s="12">
        <f>Report_2025_Q4[[#This Row],[withdrawls villa ]]*Report_2025_Q4[[#This Row],[cost by unit ]]</f>
        <v>375</v>
      </c>
      <c r="J74" s="12">
        <v>15</v>
      </c>
      <c r="K74" s="12">
        <f>Report_2025_Q4[[#This Row],[withdrawls IBN ]]*Report_2025_Q4[[#This Row],[cost by unit ]]</f>
        <v>375</v>
      </c>
      <c r="L74" s="13">
        <v>25</v>
      </c>
      <c r="M74" s="13">
        <f>Report_2025_Q4[[#This Row],[cost villa ]]+Report_2025_Q4[[#This Row],[IBN cost ]]</f>
        <v>750</v>
      </c>
      <c r="N74" s="12">
        <f>Report_2025_Q4[[#This Row],[3 monthes  ORDER ]]*Report_2025_Q4[[#This Row],[cost by unit ]]</f>
        <v>750</v>
      </c>
      <c r="O74" s="50"/>
      <c r="P74" s="50"/>
      <c r="Q74" s="51"/>
      <c r="R74" s="51"/>
      <c r="S74" s="51"/>
      <c r="T74" s="51"/>
      <c r="U74" s="51"/>
      <c r="V74" s="51"/>
      <c r="W74" s="51"/>
      <c r="X74" s="51"/>
    </row>
    <row r="75" spans="1:24" s="15" customFormat="1" ht="26.9">
      <c r="A75" s="8"/>
      <c r="B75" s="9">
        <v>74</v>
      </c>
      <c r="C75" s="32" t="s">
        <v>93</v>
      </c>
      <c r="D75" s="22" t="s">
        <v>28</v>
      </c>
      <c r="E75" s="10">
        <v>15</v>
      </c>
      <c r="F75" s="36" t="s">
        <v>63</v>
      </c>
      <c r="G75" s="9">
        <v>0</v>
      </c>
      <c r="H75" s="10">
        <v>10</v>
      </c>
      <c r="I75" s="12">
        <f>Report_2025_Q4[[#This Row],[withdrawls villa ]]*Report_2025_Q4[[#This Row],[cost by unit ]]</f>
        <v>600</v>
      </c>
      <c r="J75" s="12">
        <v>5</v>
      </c>
      <c r="K75" s="12">
        <f>Report_2025_Q4[[#This Row],[withdrawls IBN ]]*Report_2025_Q4[[#This Row],[cost by unit ]]</f>
        <v>300</v>
      </c>
      <c r="L75" s="13">
        <v>60</v>
      </c>
      <c r="M75" s="13">
        <f>Report_2025_Q4[[#This Row],[cost villa ]]+Report_2025_Q4[[#This Row],[IBN cost ]]</f>
        <v>900</v>
      </c>
      <c r="N75" s="12">
        <f>Report_2025_Q4[[#This Row],[3 monthes  ORDER ]]*Report_2025_Q4[[#This Row],[cost by unit ]]</f>
        <v>900</v>
      </c>
      <c r="O75" s="50"/>
      <c r="P75" s="50"/>
      <c r="Q75" s="51"/>
      <c r="R75" s="51"/>
      <c r="S75" s="51"/>
      <c r="T75" s="51"/>
      <c r="U75" s="51"/>
      <c r="V75" s="51"/>
      <c r="W75" s="51"/>
      <c r="X75" s="51"/>
    </row>
    <row r="76" spans="1:24" s="15" customFormat="1" ht="26.9">
      <c r="A76" s="8"/>
      <c r="B76" s="9">
        <v>75</v>
      </c>
      <c r="C76" s="32" t="s">
        <v>94</v>
      </c>
      <c r="D76" s="22" t="s">
        <v>28</v>
      </c>
      <c r="E76" s="10">
        <v>15</v>
      </c>
      <c r="F76" s="36" t="s">
        <v>63</v>
      </c>
      <c r="G76" s="9">
        <v>0</v>
      </c>
      <c r="H76" s="10">
        <v>10</v>
      </c>
      <c r="I76" s="12">
        <f>Report_2025_Q4[[#This Row],[withdrawls villa ]]*Report_2025_Q4[[#This Row],[cost by unit ]]</f>
        <v>720</v>
      </c>
      <c r="J76" s="12">
        <v>5</v>
      </c>
      <c r="K76" s="12">
        <f>Report_2025_Q4[[#This Row],[withdrawls IBN ]]*Report_2025_Q4[[#This Row],[cost by unit ]]</f>
        <v>360</v>
      </c>
      <c r="L76" s="13">
        <v>72</v>
      </c>
      <c r="M76" s="13">
        <f>Report_2025_Q4[[#This Row],[cost villa ]]+Report_2025_Q4[[#This Row],[IBN cost ]]</f>
        <v>1080</v>
      </c>
      <c r="N76" s="12">
        <f>Report_2025_Q4[[#This Row],[3 monthes  ORDER ]]*Report_2025_Q4[[#This Row],[cost by unit ]]</f>
        <v>1080</v>
      </c>
      <c r="O76" s="50"/>
      <c r="P76" s="50"/>
      <c r="Q76" s="51"/>
      <c r="R76" s="51"/>
      <c r="S76" s="51"/>
      <c r="T76" s="51"/>
      <c r="U76" s="51"/>
      <c r="V76" s="51"/>
      <c r="W76" s="51"/>
      <c r="X76" s="51"/>
    </row>
    <row r="77" spans="1:24" s="6" customFormat="1" ht="26.9">
      <c r="A77" s="8"/>
      <c r="B77" s="9">
        <v>76</v>
      </c>
      <c r="C77" s="38" t="s">
        <v>95</v>
      </c>
      <c r="D77" s="22" t="s">
        <v>11</v>
      </c>
      <c r="E77" s="10">
        <v>20000</v>
      </c>
      <c r="F77" s="36" t="s">
        <v>63</v>
      </c>
      <c r="G77" s="9">
        <v>0</v>
      </c>
      <c r="H77" s="10">
        <v>10000</v>
      </c>
      <c r="I77" s="12">
        <f>Report_2025_Q4[[#This Row],[withdrawls villa ]]*Report_2025_Q4[[#This Row],[cost by unit ]]</f>
        <v>13000</v>
      </c>
      <c r="J77" s="12">
        <v>10000</v>
      </c>
      <c r="K77" s="12">
        <f>Report_2025_Q4[[#This Row],[withdrawls IBN ]]*Report_2025_Q4[[#This Row],[cost by unit ]]</f>
        <v>13000</v>
      </c>
      <c r="L77" s="28">
        <v>1.3</v>
      </c>
      <c r="M77" s="13">
        <f>Report_2025_Q4[[#This Row],[cost villa ]]+Report_2025_Q4[[#This Row],[IBN cost ]]</f>
        <v>26000</v>
      </c>
      <c r="N77" s="24">
        <f>Report_2025_Q4[[#This Row],[3 monthes  ORDER ]]*Report_2025_Q4[[#This Row],[cost by unit ]]</f>
        <v>26000</v>
      </c>
      <c r="O77" s="5"/>
      <c r="P77" s="5"/>
    </row>
    <row r="78" spans="1:24" s="6" customFormat="1" ht="26.9">
      <c r="A78" s="8"/>
      <c r="B78" s="9">
        <v>77</v>
      </c>
      <c r="C78" s="38" t="s">
        <v>96</v>
      </c>
      <c r="D78" s="22" t="s">
        <v>11</v>
      </c>
      <c r="E78" s="10">
        <v>10000</v>
      </c>
      <c r="F78" s="36" t="s">
        <v>63</v>
      </c>
      <c r="G78" s="9">
        <v>0</v>
      </c>
      <c r="H78" s="10">
        <v>5000</v>
      </c>
      <c r="I78" s="12">
        <f>Report_2025_Q4[[#This Row],[withdrawls villa ]]*Report_2025_Q4[[#This Row],[cost by unit ]]</f>
        <v>4000</v>
      </c>
      <c r="J78" s="12">
        <v>5000</v>
      </c>
      <c r="K78" s="12">
        <f>Report_2025_Q4[[#This Row],[withdrawls IBN ]]*Report_2025_Q4[[#This Row],[cost by unit ]]</f>
        <v>4000</v>
      </c>
      <c r="L78" s="28">
        <v>0.8</v>
      </c>
      <c r="M78" s="13">
        <f>Report_2025_Q4[[#This Row],[cost villa ]]+Report_2025_Q4[[#This Row],[IBN cost ]]</f>
        <v>8000</v>
      </c>
      <c r="N78" s="12">
        <f>Report_2025_Q4[[#This Row],[3 monthes  ORDER ]]*Report_2025_Q4[[#This Row],[cost by unit ]]</f>
        <v>8000</v>
      </c>
      <c r="O78" s="5"/>
      <c r="P78" s="5"/>
    </row>
    <row r="79" spans="1:24" s="6" customFormat="1" ht="26.9">
      <c r="A79" s="8"/>
      <c r="B79" s="9">
        <v>78</v>
      </c>
      <c r="C79" s="38" t="s">
        <v>97</v>
      </c>
      <c r="D79" s="22" t="s">
        <v>11</v>
      </c>
      <c r="E79" s="10">
        <v>20000</v>
      </c>
      <c r="F79" s="36" t="s">
        <v>63</v>
      </c>
      <c r="G79" s="9">
        <v>0</v>
      </c>
      <c r="H79" s="10">
        <v>10000</v>
      </c>
      <c r="I79" s="12">
        <f>Report_2025_Q4[[#This Row],[withdrawls villa ]]*Report_2025_Q4[[#This Row],[cost by unit ]]</f>
        <v>7000</v>
      </c>
      <c r="J79" s="12">
        <v>10000</v>
      </c>
      <c r="K79" s="12">
        <f>Report_2025_Q4[[#This Row],[withdrawls IBN ]]*Report_2025_Q4[[#This Row],[cost by unit ]]</f>
        <v>7000</v>
      </c>
      <c r="L79" s="28">
        <v>0.7</v>
      </c>
      <c r="M79" s="13">
        <f>Report_2025_Q4[[#This Row],[cost villa ]]+Report_2025_Q4[[#This Row],[IBN cost ]]</f>
        <v>14000</v>
      </c>
      <c r="N79" s="12">
        <f>Report_2025_Q4[[#This Row],[3 monthes  ORDER ]]*Report_2025_Q4[[#This Row],[cost by unit ]]</f>
        <v>14000</v>
      </c>
      <c r="O79" s="5"/>
      <c r="P79" s="5"/>
    </row>
    <row r="80" spans="1:24" s="6" customFormat="1" ht="26.9">
      <c r="A80" s="8"/>
      <c r="B80" s="9">
        <v>79</v>
      </c>
      <c r="C80" s="38" t="s">
        <v>98</v>
      </c>
      <c r="D80" s="22" t="s">
        <v>11</v>
      </c>
      <c r="E80" s="10">
        <v>10000</v>
      </c>
      <c r="F80" s="36" t="s">
        <v>63</v>
      </c>
      <c r="G80" s="9">
        <v>0</v>
      </c>
      <c r="H80" s="10">
        <v>5000</v>
      </c>
      <c r="I80" s="12">
        <f>Report_2025_Q4[[#This Row],[withdrawls villa ]]*Report_2025_Q4[[#This Row],[cost by unit ]]</f>
        <v>4500</v>
      </c>
      <c r="J80" s="12">
        <v>5000</v>
      </c>
      <c r="K80" s="12">
        <f>Report_2025_Q4[[#This Row],[withdrawls IBN ]]*Report_2025_Q4[[#This Row],[cost by unit ]]</f>
        <v>4500</v>
      </c>
      <c r="L80" s="28">
        <v>0.9</v>
      </c>
      <c r="M80" s="13">
        <f>Report_2025_Q4[[#This Row],[cost villa ]]+Report_2025_Q4[[#This Row],[IBN cost ]]</f>
        <v>9000</v>
      </c>
      <c r="N80" s="12">
        <f>Report_2025_Q4[[#This Row],[3 monthes  ORDER ]]*Report_2025_Q4[[#This Row],[cost by unit ]]</f>
        <v>9000</v>
      </c>
      <c r="O80" s="5"/>
      <c r="P80" s="5"/>
    </row>
    <row r="81" spans="1:24" s="15" customFormat="1" ht="26.9">
      <c r="A81" s="8"/>
      <c r="B81" s="9">
        <v>80</v>
      </c>
      <c r="C81" s="32" t="s">
        <v>99</v>
      </c>
      <c r="D81" s="32" t="s">
        <v>11</v>
      </c>
      <c r="E81" s="10">
        <v>20</v>
      </c>
      <c r="F81" s="36" t="s">
        <v>63</v>
      </c>
      <c r="G81" s="9">
        <v>0</v>
      </c>
      <c r="H81" s="10">
        <v>10</v>
      </c>
      <c r="I81" s="12">
        <f>Report_2025_Q4[[#This Row],[withdrawls villa ]]*Report_2025_Q4[[#This Row],[cost by unit ]]</f>
        <v>150</v>
      </c>
      <c r="J81" s="12">
        <v>10</v>
      </c>
      <c r="K81" s="12">
        <f>Report_2025_Q4[[#This Row],[withdrawls IBN ]]*Report_2025_Q4[[#This Row],[cost by unit ]]</f>
        <v>150</v>
      </c>
      <c r="L81" s="13">
        <v>15</v>
      </c>
      <c r="M81" s="13">
        <f>Report_2025_Q4[[#This Row],[cost villa ]]+Report_2025_Q4[[#This Row],[IBN cost ]]</f>
        <v>300</v>
      </c>
      <c r="N81" s="12">
        <f>Report_2025_Q4[[#This Row],[3 monthes  ORDER ]]*Report_2025_Q4[[#This Row],[cost by unit ]]</f>
        <v>300</v>
      </c>
      <c r="O81" s="50"/>
      <c r="P81" s="50"/>
      <c r="Q81" s="51"/>
      <c r="R81" s="51"/>
      <c r="S81" s="51"/>
      <c r="T81" s="51"/>
      <c r="U81" s="51"/>
      <c r="V81" s="51"/>
      <c r="W81" s="51"/>
      <c r="X81" s="51"/>
    </row>
    <row r="82" spans="1:24" s="6" customFormat="1" ht="15.6">
      <c r="A82" s="16"/>
      <c r="B82" s="9">
        <v>81</v>
      </c>
      <c r="C82" s="39" t="s">
        <v>100</v>
      </c>
      <c r="D82" s="22" t="s">
        <v>16</v>
      </c>
      <c r="E82" s="10">
        <v>30</v>
      </c>
      <c r="F82" s="18"/>
      <c r="G82" s="9">
        <v>0</v>
      </c>
      <c r="H82" s="10">
        <v>15</v>
      </c>
      <c r="I82" s="12">
        <f>Report_2025_Q4[[#This Row],[withdrawls villa ]]*Report_2025_Q4[[#This Row],[cost by unit ]]</f>
        <v>1260</v>
      </c>
      <c r="J82" s="12">
        <v>15</v>
      </c>
      <c r="K82" s="12">
        <f>Report_2025_Q4[[#This Row],[withdrawls IBN ]]*Report_2025_Q4[[#This Row],[cost by unit ]]</f>
        <v>1260</v>
      </c>
      <c r="L82" s="34">
        <v>84</v>
      </c>
      <c r="M82" s="13">
        <f>Report_2025_Q4[[#This Row],[cost villa ]]+Report_2025_Q4[[#This Row],[IBN cost ]]</f>
        <v>2520</v>
      </c>
      <c r="N82" s="12">
        <f>Report_2025_Q4[[#This Row],[3 monthes  ORDER ]]*Report_2025_Q4[[#This Row],[cost by unit ]]</f>
        <v>2520</v>
      </c>
      <c r="O82" s="5"/>
      <c r="P82" s="5"/>
    </row>
    <row r="83" spans="1:24" s="6" customFormat="1" ht="15.6">
      <c r="A83" s="8"/>
      <c r="B83" s="9">
        <v>82</v>
      </c>
      <c r="C83" s="40" t="s">
        <v>101</v>
      </c>
      <c r="D83" s="22" t="s">
        <v>11</v>
      </c>
      <c r="E83" s="10">
        <v>30000</v>
      </c>
      <c r="F83" s="11"/>
      <c r="G83" s="9">
        <v>0</v>
      </c>
      <c r="H83" s="10">
        <v>20000</v>
      </c>
      <c r="I83" s="12">
        <f>Report_2025_Q4[[#This Row],[withdrawls villa ]]*Report_2025_Q4[[#This Row],[cost by unit ]]</f>
        <v>38000</v>
      </c>
      <c r="J83" s="12">
        <v>10000</v>
      </c>
      <c r="K83" s="12">
        <f>Report_2025_Q4[[#This Row],[withdrawls IBN ]]*Report_2025_Q4[[#This Row],[cost by unit ]]</f>
        <v>19000</v>
      </c>
      <c r="L83" s="23">
        <v>1.9</v>
      </c>
      <c r="M83" s="13">
        <f>Report_2025_Q4[[#This Row],[cost villa ]]+Report_2025_Q4[[#This Row],[IBN cost ]]</f>
        <v>57000</v>
      </c>
      <c r="N83" s="12">
        <f>Report_2025_Q4[[#This Row],[3 monthes  ORDER ]]*Report_2025_Q4[[#This Row],[cost by unit ]]</f>
        <v>57000</v>
      </c>
      <c r="O83" s="5"/>
      <c r="P83" s="5"/>
    </row>
    <row r="84" spans="1:24" s="15" customFormat="1" ht="15.6">
      <c r="A84" s="8"/>
      <c r="B84" s="9">
        <v>83</v>
      </c>
      <c r="C84" s="32" t="s">
        <v>102</v>
      </c>
      <c r="D84" s="22" t="s">
        <v>16</v>
      </c>
      <c r="E84" s="10">
        <v>12</v>
      </c>
      <c r="F84" s="11" t="s">
        <v>103</v>
      </c>
      <c r="G84" s="9">
        <v>0</v>
      </c>
      <c r="H84" s="10">
        <v>10</v>
      </c>
      <c r="I84" s="12">
        <f>Report_2025_Q4[[#This Row],[withdrawls villa ]]*Report_2025_Q4[[#This Row],[cost by unit ]]</f>
        <v>28.5</v>
      </c>
      <c r="J84" s="12">
        <v>2</v>
      </c>
      <c r="K84" s="12">
        <f>Report_2025_Q4[[#This Row],[withdrawls IBN ]]*Report_2025_Q4[[#This Row],[cost by unit ]]</f>
        <v>5.7</v>
      </c>
      <c r="L84" s="13">
        <v>2.85</v>
      </c>
      <c r="M84" s="13">
        <f>Report_2025_Q4[[#This Row],[cost villa ]]+Report_2025_Q4[[#This Row],[IBN cost ]]</f>
        <v>34.200000000000003</v>
      </c>
      <c r="N84" s="12">
        <f>Report_2025_Q4[[#This Row],[3 monthes  ORDER ]]*Report_2025_Q4[[#This Row],[cost by unit ]]</f>
        <v>34.200000000000003</v>
      </c>
      <c r="O84" s="50"/>
      <c r="P84" s="50"/>
      <c r="Q84" s="51"/>
      <c r="R84" s="51"/>
      <c r="S84" s="51"/>
      <c r="T84" s="51"/>
      <c r="U84" s="51"/>
      <c r="V84" s="51"/>
      <c r="W84" s="51"/>
      <c r="X84" s="51"/>
    </row>
    <row r="85" spans="1:24" s="15" customFormat="1" ht="15.6">
      <c r="A85" s="8"/>
      <c r="B85" s="9">
        <v>84</v>
      </c>
      <c r="C85" s="32" t="s">
        <v>104</v>
      </c>
      <c r="D85" s="32" t="s">
        <v>11</v>
      </c>
      <c r="E85" s="10">
        <v>24</v>
      </c>
      <c r="F85" s="11" t="s">
        <v>103</v>
      </c>
      <c r="G85" s="9">
        <v>0</v>
      </c>
      <c r="H85" s="10">
        <v>20</v>
      </c>
      <c r="I85" s="12">
        <f>Report_2025_Q4[[#This Row],[withdrawls villa ]]*Report_2025_Q4[[#This Row],[cost by unit ]]</f>
        <v>30</v>
      </c>
      <c r="J85" s="12">
        <v>4</v>
      </c>
      <c r="K85" s="12">
        <f>Report_2025_Q4[[#This Row],[withdrawls IBN ]]*Report_2025_Q4[[#This Row],[cost by unit ]]</f>
        <v>6</v>
      </c>
      <c r="L85" s="13">
        <v>1.5</v>
      </c>
      <c r="M85" s="13">
        <f>Report_2025_Q4[[#This Row],[cost villa ]]+Report_2025_Q4[[#This Row],[IBN cost ]]</f>
        <v>36</v>
      </c>
      <c r="N85" s="12">
        <f>Report_2025_Q4[[#This Row],[3 monthes  ORDER ]]*Report_2025_Q4[[#This Row],[cost by unit ]]</f>
        <v>36</v>
      </c>
      <c r="O85" s="50"/>
      <c r="P85" s="50"/>
      <c r="Q85" s="51"/>
      <c r="R85" s="51"/>
      <c r="S85" s="51"/>
      <c r="T85" s="51"/>
      <c r="U85" s="51"/>
      <c r="V85" s="51"/>
      <c r="W85" s="51"/>
      <c r="X85" s="51"/>
    </row>
    <row r="86" spans="1:24" s="15" customFormat="1" ht="15.6">
      <c r="A86" s="8"/>
      <c r="B86" s="9">
        <v>85</v>
      </c>
      <c r="C86" s="32" t="s">
        <v>105</v>
      </c>
      <c r="D86" s="32" t="s">
        <v>11</v>
      </c>
      <c r="E86" s="10">
        <v>24</v>
      </c>
      <c r="F86" s="11" t="s">
        <v>103</v>
      </c>
      <c r="G86" s="9">
        <v>0</v>
      </c>
      <c r="H86" s="10">
        <v>20</v>
      </c>
      <c r="I86" s="12">
        <f>Report_2025_Q4[[#This Row],[withdrawls villa ]]*Report_2025_Q4[[#This Row],[cost by unit ]]</f>
        <v>9.6</v>
      </c>
      <c r="J86" s="12">
        <v>4</v>
      </c>
      <c r="K86" s="12">
        <f>Report_2025_Q4[[#This Row],[withdrawls IBN ]]*Report_2025_Q4[[#This Row],[cost by unit ]]</f>
        <v>1.92</v>
      </c>
      <c r="L86" s="13">
        <v>0.48</v>
      </c>
      <c r="M86" s="13">
        <f>Report_2025_Q4[[#This Row],[cost villa ]]+Report_2025_Q4[[#This Row],[IBN cost ]]</f>
        <v>11.52</v>
      </c>
      <c r="N86" s="12">
        <f>Report_2025_Q4[[#This Row],[3 monthes  ORDER ]]*Report_2025_Q4[[#This Row],[cost by unit ]]</f>
        <v>11.52</v>
      </c>
      <c r="O86" s="50"/>
      <c r="P86" s="50"/>
      <c r="Q86" s="51"/>
      <c r="R86" s="51"/>
      <c r="S86" s="51"/>
      <c r="T86" s="51"/>
      <c r="U86" s="51"/>
      <c r="V86" s="51"/>
      <c r="W86" s="51"/>
      <c r="X86" s="51"/>
    </row>
    <row r="87" spans="1:24" s="15" customFormat="1" ht="15.6">
      <c r="A87" s="8"/>
      <c r="B87" s="9">
        <v>86</v>
      </c>
      <c r="C87" s="32" t="s">
        <v>106</v>
      </c>
      <c r="D87" s="32" t="s">
        <v>11</v>
      </c>
      <c r="E87" s="10">
        <v>20</v>
      </c>
      <c r="F87" s="11" t="s">
        <v>103</v>
      </c>
      <c r="G87" s="9">
        <v>0</v>
      </c>
      <c r="H87" s="10">
        <v>15</v>
      </c>
      <c r="I87" s="12">
        <f>Report_2025_Q4[[#This Row],[withdrawls villa ]]*Report_2025_Q4[[#This Row],[cost by unit ]]</f>
        <v>135</v>
      </c>
      <c r="J87" s="12">
        <v>5</v>
      </c>
      <c r="K87" s="12">
        <f>Report_2025_Q4[[#This Row],[withdrawls IBN ]]*Report_2025_Q4[[#This Row],[cost by unit ]]</f>
        <v>45</v>
      </c>
      <c r="L87" s="13">
        <v>9</v>
      </c>
      <c r="M87" s="13">
        <f>Report_2025_Q4[[#This Row],[cost villa ]]+Report_2025_Q4[[#This Row],[IBN cost ]]</f>
        <v>180</v>
      </c>
      <c r="N87" s="12">
        <f>Report_2025_Q4[[#This Row],[3 monthes  ORDER ]]*Report_2025_Q4[[#This Row],[cost by unit ]]</f>
        <v>180</v>
      </c>
      <c r="O87" s="50"/>
      <c r="P87" s="50"/>
      <c r="Q87" s="51"/>
      <c r="R87" s="51"/>
      <c r="S87" s="51"/>
      <c r="T87" s="51"/>
      <c r="U87" s="51"/>
      <c r="V87" s="51"/>
      <c r="W87" s="51"/>
      <c r="X87" s="51"/>
    </row>
    <row r="88" spans="1:24" s="15" customFormat="1" ht="15.6">
      <c r="A88" s="8"/>
      <c r="B88" s="9">
        <v>87</v>
      </c>
      <c r="C88" s="32" t="s">
        <v>107</v>
      </c>
      <c r="D88" s="32" t="s">
        <v>11</v>
      </c>
      <c r="E88" s="10">
        <v>20</v>
      </c>
      <c r="F88" s="11" t="s">
        <v>103</v>
      </c>
      <c r="G88" s="9">
        <v>0</v>
      </c>
      <c r="H88" s="10">
        <v>15</v>
      </c>
      <c r="I88" s="12">
        <f>Report_2025_Q4[[#This Row],[withdrawls villa ]]*Report_2025_Q4[[#This Row],[cost by unit ]]</f>
        <v>105</v>
      </c>
      <c r="J88" s="12">
        <v>5</v>
      </c>
      <c r="K88" s="12">
        <f>Report_2025_Q4[[#This Row],[withdrawls IBN ]]*Report_2025_Q4[[#This Row],[cost by unit ]]</f>
        <v>35</v>
      </c>
      <c r="L88" s="13">
        <v>7</v>
      </c>
      <c r="M88" s="13">
        <f>Report_2025_Q4[[#This Row],[cost villa ]]+Report_2025_Q4[[#This Row],[IBN cost ]]</f>
        <v>140</v>
      </c>
      <c r="N88" s="12">
        <f>Report_2025_Q4[[#This Row],[3 monthes  ORDER ]]*Report_2025_Q4[[#This Row],[cost by unit ]]</f>
        <v>140</v>
      </c>
      <c r="O88" s="50"/>
      <c r="P88" s="50"/>
      <c r="Q88" s="51"/>
      <c r="R88" s="51"/>
      <c r="S88" s="51"/>
      <c r="T88" s="51"/>
      <c r="U88" s="51"/>
      <c r="V88" s="51"/>
      <c r="W88" s="51"/>
      <c r="X88" s="51"/>
    </row>
    <row r="89" spans="1:24" s="15" customFormat="1" ht="15.6">
      <c r="A89" s="8"/>
      <c r="B89" s="9">
        <v>88</v>
      </c>
      <c r="C89" s="32" t="s">
        <v>108</v>
      </c>
      <c r="D89" s="22" t="s">
        <v>16</v>
      </c>
      <c r="E89" s="10">
        <v>20</v>
      </c>
      <c r="F89" s="11" t="s">
        <v>103</v>
      </c>
      <c r="G89" s="9">
        <v>0</v>
      </c>
      <c r="H89" s="10">
        <v>15</v>
      </c>
      <c r="I89" s="12">
        <f>Report_2025_Q4[[#This Row],[withdrawls villa ]]*Report_2025_Q4[[#This Row],[cost by unit ]]</f>
        <v>210</v>
      </c>
      <c r="J89" s="12">
        <v>5</v>
      </c>
      <c r="K89" s="12">
        <f>Report_2025_Q4[[#This Row],[withdrawls IBN ]]*Report_2025_Q4[[#This Row],[cost by unit ]]</f>
        <v>70</v>
      </c>
      <c r="L89" s="13">
        <v>14</v>
      </c>
      <c r="M89" s="13">
        <f>Report_2025_Q4[[#This Row],[cost villa ]]+Report_2025_Q4[[#This Row],[IBN cost ]]</f>
        <v>280</v>
      </c>
      <c r="N89" s="12">
        <f>Report_2025_Q4[[#This Row],[3 monthes  ORDER ]]*Report_2025_Q4[[#This Row],[cost by unit ]]</f>
        <v>280</v>
      </c>
      <c r="O89" s="50"/>
      <c r="P89" s="50"/>
      <c r="Q89" s="51"/>
      <c r="R89" s="51"/>
      <c r="S89" s="51"/>
      <c r="T89" s="51"/>
      <c r="U89" s="51"/>
      <c r="V89" s="51"/>
      <c r="W89" s="51"/>
      <c r="X89" s="51"/>
    </row>
    <row r="90" spans="1:24" s="15" customFormat="1" ht="15.6">
      <c r="A90" s="8"/>
      <c r="B90" s="9">
        <v>89</v>
      </c>
      <c r="C90" s="32" t="s">
        <v>109</v>
      </c>
      <c r="D90" s="32" t="s">
        <v>11</v>
      </c>
      <c r="E90" s="10">
        <v>20</v>
      </c>
      <c r="F90" s="11" t="s">
        <v>103</v>
      </c>
      <c r="G90" s="9">
        <v>0</v>
      </c>
      <c r="H90" s="10">
        <v>15</v>
      </c>
      <c r="I90" s="12">
        <f>Report_2025_Q4[[#This Row],[withdrawls villa ]]*Report_2025_Q4[[#This Row],[cost by unit ]]</f>
        <v>22.5</v>
      </c>
      <c r="J90" s="12">
        <v>5</v>
      </c>
      <c r="K90" s="12">
        <f>Report_2025_Q4[[#This Row],[withdrawls IBN ]]*Report_2025_Q4[[#This Row],[cost by unit ]]</f>
        <v>7.5</v>
      </c>
      <c r="L90" s="13">
        <v>1.5</v>
      </c>
      <c r="M90" s="13">
        <f>Report_2025_Q4[[#This Row],[cost villa ]]+Report_2025_Q4[[#This Row],[IBN cost ]]</f>
        <v>30</v>
      </c>
      <c r="N90" s="12">
        <f>Report_2025_Q4[[#This Row],[3 monthes  ORDER ]]*Report_2025_Q4[[#This Row],[cost by unit ]]</f>
        <v>30</v>
      </c>
      <c r="O90" s="50"/>
      <c r="P90" s="50"/>
      <c r="Q90" s="51"/>
      <c r="R90" s="51"/>
      <c r="S90" s="51"/>
      <c r="T90" s="51"/>
      <c r="U90" s="51"/>
      <c r="V90" s="51"/>
      <c r="W90" s="51"/>
      <c r="X90" s="51"/>
    </row>
    <row r="91" spans="1:24" s="15" customFormat="1" ht="15.6">
      <c r="A91" s="8"/>
      <c r="B91" s="9">
        <v>90</v>
      </c>
      <c r="C91" s="32" t="s">
        <v>110</v>
      </c>
      <c r="D91" s="32" t="s">
        <v>11</v>
      </c>
      <c r="E91" s="10">
        <v>30</v>
      </c>
      <c r="F91" s="11" t="s">
        <v>103</v>
      </c>
      <c r="G91" s="9">
        <v>0</v>
      </c>
      <c r="H91" s="10">
        <v>15</v>
      </c>
      <c r="I91" s="12">
        <f>Report_2025_Q4[[#This Row],[withdrawls villa ]]*Report_2025_Q4[[#This Row],[cost by unit ]]</f>
        <v>390</v>
      </c>
      <c r="J91" s="12">
        <v>15</v>
      </c>
      <c r="K91" s="12">
        <f>Report_2025_Q4[[#This Row],[withdrawls IBN ]]*Report_2025_Q4[[#This Row],[cost by unit ]]</f>
        <v>390</v>
      </c>
      <c r="L91" s="13">
        <v>26</v>
      </c>
      <c r="M91" s="13">
        <f>Report_2025_Q4[[#This Row],[cost villa ]]+Report_2025_Q4[[#This Row],[IBN cost ]]</f>
        <v>780</v>
      </c>
      <c r="N91" s="12">
        <f>Report_2025_Q4[[#This Row],[3 monthes  ORDER ]]*Report_2025_Q4[[#This Row],[cost by unit ]]</f>
        <v>780</v>
      </c>
      <c r="O91" s="50"/>
      <c r="P91" s="50"/>
      <c r="Q91" s="51"/>
      <c r="R91" s="51"/>
      <c r="S91" s="51"/>
      <c r="T91" s="51"/>
      <c r="U91" s="51"/>
      <c r="V91" s="51"/>
      <c r="W91" s="51"/>
      <c r="X91" s="51"/>
    </row>
    <row r="92" spans="1:24" s="15" customFormat="1" ht="15.6">
      <c r="A92" s="8"/>
      <c r="B92" s="9">
        <v>91</v>
      </c>
      <c r="C92" s="32" t="s">
        <v>111</v>
      </c>
      <c r="D92" s="22" t="s">
        <v>16</v>
      </c>
      <c r="E92" s="10">
        <v>20</v>
      </c>
      <c r="F92" s="11" t="s">
        <v>103</v>
      </c>
      <c r="G92" s="9">
        <v>0</v>
      </c>
      <c r="H92" s="10">
        <v>15</v>
      </c>
      <c r="I92" s="12">
        <f>Report_2025_Q4[[#This Row],[withdrawls villa ]]*Report_2025_Q4[[#This Row],[cost by unit ]]</f>
        <v>165</v>
      </c>
      <c r="J92" s="12">
        <v>5</v>
      </c>
      <c r="K92" s="12">
        <f>Report_2025_Q4[[#This Row],[withdrawls IBN ]]*Report_2025_Q4[[#This Row],[cost by unit ]]</f>
        <v>55</v>
      </c>
      <c r="L92" s="13">
        <v>11</v>
      </c>
      <c r="M92" s="13">
        <f>Report_2025_Q4[[#This Row],[cost villa ]]+Report_2025_Q4[[#This Row],[IBN cost ]]</f>
        <v>220</v>
      </c>
      <c r="N92" s="12">
        <f>Report_2025_Q4[[#This Row],[3 monthes  ORDER ]]*Report_2025_Q4[[#This Row],[cost by unit ]]</f>
        <v>220</v>
      </c>
      <c r="O92" s="50"/>
      <c r="P92" s="50"/>
      <c r="Q92" s="51"/>
      <c r="R92" s="51"/>
      <c r="S92" s="51"/>
      <c r="T92" s="51"/>
      <c r="U92" s="51"/>
      <c r="V92" s="51"/>
      <c r="W92" s="51"/>
      <c r="X92" s="51"/>
    </row>
    <row r="93" spans="1:24" s="15" customFormat="1" ht="15.6">
      <c r="A93" s="8"/>
      <c r="B93" s="9">
        <v>92</v>
      </c>
      <c r="C93" s="32" t="s">
        <v>112</v>
      </c>
      <c r="D93" s="22" t="s">
        <v>52</v>
      </c>
      <c r="E93" s="10">
        <v>20</v>
      </c>
      <c r="F93" s="11" t="s">
        <v>103</v>
      </c>
      <c r="G93" s="9">
        <v>0</v>
      </c>
      <c r="H93" s="10">
        <v>15</v>
      </c>
      <c r="I93" s="12">
        <f>Report_2025_Q4[[#This Row],[withdrawls villa ]]*Report_2025_Q4[[#This Row],[cost by unit ]]</f>
        <v>255</v>
      </c>
      <c r="J93" s="12">
        <v>5</v>
      </c>
      <c r="K93" s="12">
        <f>Report_2025_Q4[[#This Row],[withdrawls IBN ]]*Report_2025_Q4[[#This Row],[cost by unit ]]</f>
        <v>85</v>
      </c>
      <c r="L93" s="13">
        <v>17</v>
      </c>
      <c r="M93" s="13">
        <f>Report_2025_Q4[[#This Row],[cost villa ]]+Report_2025_Q4[[#This Row],[IBN cost ]]</f>
        <v>340</v>
      </c>
      <c r="N93" s="12">
        <f>Report_2025_Q4[[#This Row],[3 monthes  ORDER ]]*Report_2025_Q4[[#This Row],[cost by unit ]]</f>
        <v>340</v>
      </c>
      <c r="O93" s="50"/>
      <c r="P93" s="50"/>
      <c r="Q93" s="51"/>
      <c r="R93" s="51"/>
      <c r="S93" s="51"/>
      <c r="T93" s="51"/>
      <c r="U93" s="51"/>
      <c r="V93" s="51"/>
      <c r="W93" s="51"/>
      <c r="X93" s="51"/>
    </row>
    <row r="94" spans="1:24" s="15" customFormat="1" ht="15.6">
      <c r="A94" s="8"/>
      <c r="B94" s="9">
        <v>93</v>
      </c>
      <c r="C94" s="32" t="s">
        <v>113</v>
      </c>
      <c r="D94" s="32" t="s">
        <v>11</v>
      </c>
      <c r="E94" s="10">
        <v>30</v>
      </c>
      <c r="F94" s="11" t="s">
        <v>103</v>
      </c>
      <c r="G94" s="9">
        <v>0</v>
      </c>
      <c r="H94" s="10">
        <v>20</v>
      </c>
      <c r="I94" s="12">
        <f>Report_2025_Q4[[#This Row],[withdrawls villa ]]*Report_2025_Q4[[#This Row],[cost by unit ]]</f>
        <v>250</v>
      </c>
      <c r="J94" s="12">
        <v>10</v>
      </c>
      <c r="K94" s="12">
        <f>Report_2025_Q4[[#This Row],[withdrawls IBN ]]*Report_2025_Q4[[#This Row],[cost by unit ]]</f>
        <v>125</v>
      </c>
      <c r="L94" s="13">
        <v>12.5</v>
      </c>
      <c r="M94" s="13">
        <f>Report_2025_Q4[[#This Row],[cost villa ]]+Report_2025_Q4[[#This Row],[IBN cost ]]</f>
        <v>375</v>
      </c>
      <c r="N94" s="12">
        <f>Report_2025_Q4[[#This Row],[3 monthes  ORDER ]]*Report_2025_Q4[[#This Row],[cost by unit ]]</f>
        <v>375</v>
      </c>
      <c r="O94" s="50"/>
      <c r="P94" s="50"/>
      <c r="Q94" s="51"/>
      <c r="R94" s="51"/>
      <c r="S94" s="51"/>
      <c r="T94" s="51"/>
      <c r="U94" s="51"/>
      <c r="V94" s="51"/>
      <c r="W94" s="51"/>
      <c r="X94" s="51"/>
    </row>
    <row r="95" spans="1:24" s="15" customFormat="1" ht="15.6">
      <c r="A95" s="8"/>
      <c r="B95" s="9">
        <v>94</v>
      </c>
      <c r="C95" s="32" t="s">
        <v>114</v>
      </c>
      <c r="D95" s="22" t="s">
        <v>16</v>
      </c>
      <c r="E95" s="10">
        <v>30</v>
      </c>
      <c r="F95" s="11" t="s">
        <v>103</v>
      </c>
      <c r="G95" s="9">
        <v>0</v>
      </c>
      <c r="H95" s="10">
        <v>15</v>
      </c>
      <c r="I95" s="12">
        <f>Report_2025_Q4[[#This Row],[withdrawls villa ]]*Report_2025_Q4[[#This Row],[cost by unit ]]</f>
        <v>2145</v>
      </c>
      <c r="J95" s="12">
        <v>15</v>
      </c>
      <c r="K95" s="12">
        <f>Report_2025_Q4[[#This Row],[withdrawls IBN ]]*Report_2025_Q4[[#This Row],[cost by unit ]]</f>
        <v>2145</v>
      </c>
      <c r="L95" s="13">
        <v>143</v>
      </c>
      <c r="M95" s="13">
        <f>Report_2025_Q4[[#This Row],[cost villa ]]+Report_2025_Q4[[#This Row],[IBN cost ]]</f>
        <v>4290</v>
      </c>
      <c r="N95" s="12">
        <f>Report_2025_Q4[[#This Row],[3 monthes  ORDER ]]*Report_2025_Q4[[#This Row],[cost by unit ]]</f>
        <v>4290</v>
      </c>
      <c r="O95" s="50"/>
      <c r="P95" s="50"/>
      <c r="Q95" s="51"/>
      <c r="R95" s="51"/>
      <c r="S95" s="51"/>
      <c r="T95" s="51"/>
      <c r="U95" s="51"/>
      <c r="V95" s="51"/>
      <c r="W95" s="51"/>
      <c r="X95" s="51"/>
    </row>
    <row r="96" spans="1:24" s="15" customFormat="1" ht="15.6">
      <c r="A96" s="8"/>
      <c r="B96" s="9">
        <v>95</v>
      </c>
      <c r="C96" s="32" t="s">
        <v>115</v>
      </c>
      <c r="D96" s="22" t="s">
        <v>16</v>
      </c>
      <c r="E96" s="10">
        <v>20</v>
      </c>
      <c r="F96" s="11" t="s">
        <v>103</v>
      </c>
      <c r="G96" s="9">
        <v>0</v>
      </c>
      <c r="H96" s="10">
        <v>10</v>
      </c>
      <c r="I96" s="12">
        <f>Report_2025_Q4[[#This Row],[withdrawls villa ]]*Report_2025_Q4[[#This Row],[cost by unit ]]</f>
        <v>180</v>
      </c>
      <c r="J96" s="12">
        <v>10</v>
      </c>
      <c r="K96" s="12">
        <f>Report_2025_Q4[[#This Row],[withdrawls IBN ]]*Report_2025_Q4[[#This Row],[cost by unit ]]</f>
        <v>180</v>
      </c>
      <c r="L96" s="13">
        <v>18</v>
      </c>
      <c r="M96" s="13">
        <f>Report_2025_Q4[[#This Row],[cost villa ]]+Report_2025_Q4[[#This Row],[IBN cost ]]</f>
        <v>360</v>
      </c>
      <c r="N96" s="12">
        <f>Report_2025_Q4[[#This Row],[3 monthes  ORDER ]]*Report_2025_Q4[[#This Row],[cost by unit ]]</f>
        <v>360</v>
      </c>
      <c r="O96" s="50"/>
      <c r="P96" s="50"/>
      <c r="Q96" s="51"/>
      <c r="R96" s="51"/>
      <c r="S96" s="51"/>
      <c r="T96" s="51"/>
      <c r="U96" s="51"/>
      <c r="V96" s="51"/>
      <c r="W96" s="51"/>
      <c r="X96" s="51"/>
    </row>
    <row r="97" spans="1:24" s="15" customFormat="1" ht="15.05" customHeight="1">
      <c r="A97" s="8"/>
      <c r="B97" s="9">
        <v>96</v>
      </c>
      <c r="C97" s="32" t="s">
        <v>116</v>
      </c>
      <c r="D97" s="22" t="s">
        <v>16</v>
      </c>
      <c r="E97" s="10">
        <v>10</v>
      </c>
      <c r="F97" s="11" t="s">
        <v>103</v>
      </c>
      <c r="G97" s="9">
        <v>0</v>
      </c>
      <c r="H97" s="10">
        <v>5</v>
      </c>
      <c r="I97" s="12">
        <f>Report_2025_Q4[[#This Row],[withdrawls villa ]]*Report_2025_Q4[[#This Row],[cost by unit ]]</f>
        <v>30</v>
      </c>
      <c r="J97" s="12">
        <v>5</v>
      </c>
      <c r="K97" s="12">
        <f>Report_2025_Q4[[#This Row],[withdrawls IBN ]]*Report_2025_Q4[[#This Row],[cost by unit ]]</f>
        <v>30</v>
      </c>
      <c r="L97" s="13">
        <v>6</v>
      </c>
      <c r="M97" s="13">
        <f>Report_2025_Q4[[#This Row],[cost villa ]]+Report_2025_Q4[[#This Row],[IBN cost ]]</f>
        <v>60</v>
      </c>
      <c r="N97" s="12">
        <f>Report_2025_Q4[[#This Row],[3 monthes  ORDER ]]*Report_2025_Q4[[#This Row],[cost by unit ]]</f>
        <v>60</v>
      </c>
      <c r="O97" s="50"/>
      <c r="P97" s="50"/>
      <c r="Q97" s="51"/>
      <c r="R97" s="51"/>
      <c r="S97" s="51"/>
      <c r="T97" s="51"/>
      <c r="U97" s="51"/>
      <c r="V97" s="51"/>
      <c r="W97" s="51"/>
      <c r="X97" s="51"/>
    </row>
    <row r="98" spans="1:24" s="15" customFormat="1" ht="15.6">
      <c r="A98" s="8"/>
      <c r="B98" s="9">
        <v>97</v>
      </c>
      <c r="C98" s="32" t="s">
        <v>117</v>
      </c>
      <c r="D98" s="22" t="s">
        <v>52</v>
      </c>
      <c r="E98" s="10">
        <v>50</v>
      </c>
      <c r="F98" s="11" t="s">
        <v>103</v>
      </c>
      <c r="G98" s="9">
        <v>0</v>
      </c>
      <c r="H98" s="10">
        <v>25</v>
      </c>
      <c r="I98" s="12">
        <f>Report_2025_Q4[[#This Row],[withdrawls villa ]]*Report_2025_Q4[[#This Row],[cost by unit ]]</f>
        <v>275</v>
      </c>
      <c r="J98" s="12">
        <v>25</v>
      </c>
      <c r="K98" s="12">
        <f>Report_2025_Q4[[#This Row],[withdrawls IBN ]]*Report_2025_Q4[[#This Row],[cost by unit ]]</f>
        <v>275</v>
      </c>
      <c r="L98" s="13">
        <v>11</v>
      </c>
      <c r="M98" s="13">
        <f>Report_2025_Q4[[#This Row],[cost villa ]]+Report_2025_Q4[[#This Row],[IBN cost ]]</f>
        <v>550</v>
      </c>
      <c r="N98" s="12">
        <f>Report_2025_Q4[[#This Row],[3 monthes  ORDER ]]*Report_2025_Q4[[#This Row],[cost by unit ]]</f>
        <v>550</v>
      </c>
      <c r="O98" s="50"/>
      <c r="P98" s="50"/>
      <c r="Q98" s="51"/>
      <c r="R98" s="51"/>
      <c r="S98" s="51"/>
      <c r="T98" s="51"/>
      <c r="U98" s="51"/>
      <c r="V98" s="51"/>
      <c r="W98" s="51"/>
      <c r="X98" s="51"/>
    </row>
    <row r="99" spans="1:24" s="15" customFormat="1" ht="15.6">
      <c r="A99" s="8"/>
      <c r="B99" s="9">
        <v>98</v>
      </c>
      <c r="C99" s="37" t="s">
        <v>118</v>
      </c>
      <c r="D99" s="22" t="s">
        <v>28</v>
      </c>
      <c r="E99" s="10">
        <v>46</v>
      </c>
      <c r="F99" s="11" t="s">
        <v>103</v>
      </c>
      <c r="G99" s="9">
        <v>0</v>
      </c>
      <c r="H99" s="10">
        <v>40</v>
      </c>
      <c r="I99" s="12">
        <f>Report_2025_Q4[[#This Row],[withdrawls villa ]]*Report_2025_Q4[[#This Row],[cost by unit ]]</f>
        <v>1800</v>
      </c>
      <c r="J99" s="12">
        <v>6</v>
      </c>
      <c r="K99" s="12">
        <f>Report_2025_Q4[[#This Row],[withdrawls IBN ]]*Report_2025_Q4[[#This Row],[cost by unit ]]</f>
        <v>270</v>
      </c>
      <c r="L99" s="13">
        <v>45</v>
      </c>
      <c r="M99" s="13">
        <f>Report_2025_Q4[[#This Row],[cost villa ]]+Report_2025_Q4[[#This Row],[IBN cost ]]</f>
        <v>2070</v>
      </c>
      <c r="N99" s="12">
        <f>Report_2025_Q4[[#This Row],[3 monthes  ORDER ]]*Report_2025_Q4[[#This Row],[cost by unit ]]</f>
        <v>2070</v>
      </c>
      <c r="O99" s="50"/>
      <c r="P99" s="50"/>
      <c r="Q99" s="51"/>
      <c r="R99" s="51"/>
      <c r="S99" s="51"/>
      <c r="T99" s="51"/>
      <c r="U99" s="51"/>
      <c r="V99" s="51"/>
      <c r="W99" s="51"/>
      <c r="X99" s="51"/>
    </row>
    <row r="100" spans="1:24" s="15" customFormat="1" ht="15.6">
      <c r="A100" s="8"/>
      <c r="B100" s="9">
        <v>99</v>
      </c>
      <c r="C100" s="32" t="s">
        <v>119</v>
      </c>
      <c r="D100" s="32" t="s">
        <v>11</v>
      </c>
      <c r="E100" s="10">
        <v>35</v>
      </c>
      <c r="F100" s="11" t="s">
        <v>103</v>
      </c>
      <c r="G100" s="9">
        <v>0</v>
      </c>
      <c r="H100" s="10">
        <v>30</v>
      </c>
      <c r="I100" s="12">
        <f>Report_2025_Q4[[#This Row],[withdrawls villa ]]*Report_2025_Q4[[#This Row],[cost by unit ]]</f>
        <v>750</v>
      </c>
      <c r="J100" s="12">
        <v>5</v>
      </c>
      <c r="K100" s="12">
        <f>Report_2025_Q4[[#This Row],[withdrawls IBN ]]*Report_2025_Q4[[#This Row],[cost by unit ]]</f>
        <v>125</v>
      </c>
      <c r="L100" s="13">
        <v>25</v>
      </c>
      <c r="M100" s="13">
        <f>Report_2025_Q4[[#This Row],[cost villa ]]+Report_2025_Q4[[#This Row],[IBN cost ]]</f>
        <v>875</v>
      </c>
      <c r="N100" s="12">
        <f>Report_2025_Q4[[#This Row],[3 monthes  ORDER ]]*Report_2025_Q4[[#This Row],[cost by unit ]]</f>
        <v>875</v>
      </c>
      <c r="O100" s="50"/>
      <c r="P100" s="50"/>
      <c r="Q100" s="51"/>
      <c r="R100" s="51"/>
      <c r="S100" s="51"/>
      <c r="T100" s="51"/>
      <c r="U100" s="51"/>
      <c r="V100" s="51"/>
      <c r="W100" s="51"/>
      <c r="X100" s="51"/>
    </row>
    <row r="101" spans="1:24" s="15" customFormat="1" ht="15.6">
      <c r="A101" s="8"/>
      <c r="B101" s="9">
        <v>100</v>
      </c>
      <c r="C101" s="37" t="s">
        <v>120</v>
      </c>
      <c r="D101" s="22" t="s">
        <v>16</v>
      </c>
      <c r="E101" s="10">
        <v>30</v>
      </c>
      <c r="F101" s="11" t="s">
        <v>103</v>
      </c>
      <c r="G101" s="9">
        <v>0</v>
      </c>
      <c r="H101" s="10">
        <v>15</v>
      </c>
      <c r="I101" s="12">
        <f>Report_2025_Q4[[#This Row],[withdrawls villa ]]*Report_2025_Q4[[#This Row],[cost by unit ]]</f>
        <v>600</v>
      </c>
      <c r="J101" s="12">
        <v>15</v>
      </c>
      <c r="K101" s="12">
        <f>Report_2025_Q4[[#This Row],[withdrawls IBN ]]*Report_2025_Q4[[#This Row],[cost by unit ]]</f>
        <v>600</v>
      </c>
      <c r="L101" s="13">
        <v>40</v>
      </c>
      <c r="M101" s="13">
        <f>Report_2025_Q4[[#This Row],[cost villa ]]+Report_2025_Q4[[#This Row],[IBN cost ]]</f>
        <v>1200</v>
      </c>
      <c r="N101" s="12">
        <f>Report_2025_Q4[[#This Row],[3 monthes  ORDER ]]*Report_2025_Q4[[#This Row],[cost by unit ]]</f>
        <v>1200</v>
      </c>
      <c r="O101" s="50"/>
      <c r="P101" s="50"/>
      <c r="Q101" s="51"/>
      <c r="R101" s="51"/>
      <c r="S101" s="51"/>
      <c r="T101" s="51"/>
      <c r="U101" s="51"/>
      <c r="V101" s="51"/>
      <c r="W101" s="51"/>
      <c r="X101" s="51"/>
    </row>
    <row r="102" spans="1:24" s="6" customFormat="1" ht="15.6">
      <c r="A102" s="8"/>
      <c r="B102" s="9">
        <v>101</v>
      </c>
      <c r="C102" s="37" t="s">
        <v>121</v>
      </c>
      <c r="D102" s="22" t="s">
        <v>16</v>
      </c>
      <c r="E102" s="10">
        <v>20</v>
      </c>
      <c r="F102" s="11" t="s">
        <v>103</v>
      </c>
      <c r="G102" s="9">
        <v>0</v>
      </c>
      <c r="H102" s="10">
        <v>10</v>
      </c>
      <c r="I102" s="12">
        <f>Report_2025_Q4[[#This Row],[withdrawls villa ]]*Report_2025_Q4[[#This Row],[cost by unit ]]</f>
        <v>12</v>
      </c>
      <c r="J102" s="12">
        <v>10</v>
      </c>
      <c r="K102" s="12">
        <f>Report_2025_Q4[[#This Row],[withdrawls IBN ]]*Report_2025_Q4[[#This Row],[cost by unit ]]</f>
        <v>12</v>
      </c>
      <c r="L102" s="13">
        <v>1.2</v>
      </c>
      <c r="M102" s="13">
        <f>Report_2025_Q4[[#This Row],[cost villa ]]+Report_2025_Q4[[#This Row],[IBN cost ]]</f>
        <v>24</v>
      </c>
      <c r="N102" s="12">
        <f>Report_2025_Q4[[#This Row],[3 monthes  ORDER ]]*Report_2025_Q4[[#This Row],[cost by unit ]]</f>
        <v>24</v>
      </c>
      <c r="O102" s="5"/>
      <c r="P102" s="5"/>
    </row>
    <row r="103" spans="1:24" s="6" customFormat="1" ht="15.6">
      <c r="A103" s="8"/>
      <c r="B103" s="9">
        <v>102</v>
      </c>
      <c r="C103" s="37" t="s">
        <v>122</v>
      </c>
      <c r="D103" s="32" t="s">
        <v>11</v>
      </c>
      <c r="E103" s="10">
        <v>30</v>
      </c>
      <c r="F103" s="11" t="s">
        <v>103</v>
      </c>
      <c r="G103" s="9">
        <v>0</v>
      </c>
      <c r="H103" s="10">
        <v>15</v>
      </c>
      <c r="I103" s="12">
        <f>Report_2025_Q4[[#This Row],[withdrawls villa ]]*Report_2025_Q4[[#This Row],[cost by unit ]]</f>
        <v>105</v>
      </c>
      <c r="J103" s="12">
        <v>15</v>
      </c>
      <c r="K103" s="12">
        <f>Report_2025_Q4[[#This Row],[withdrawls IBN ]]*Report_2025_Q4[[#This Row],[cost by unit ]]</f>
        <v>105</v>
      </c>
      <c r="L103" s="13">
        <v>7</v>
      </c>
      <c r="M103" s="13">
        <f>Report_2025_Q4[[#This Row],[cost villa ]]+Report_2025_Q4[[#This Row],[IBN cost ]]</f>
        <v>210</v>
      </c>
      <c r="N103" s="12">
        <f>Report_2025_Q4[[#This Row],[3 monthes  ORDER ]]*Report_2025_Q4[[#This Row],[cost by unit ]]</f>
        <v>210</v>
      </c>
      <c r="O103" s="5"/>
      <c r="P103" s="5"/>
    </row>
    <row r="104" spans="1:24" s="6" customFormat="1" ht="15.6">
      <c r="A104" s="8"/>
      <c r="B104" s="9">
        <v>103</v>
      </c>
      <c r="C104" s="37" t="s">
        <v>123</v>
      </c>
      <c r="D104" s="32" t="s">
        <v>11</v>
      </c>
      <c r="E104" s="10">
        <v>20</v>
      </c>
      <c r="F104" s="11" t="s">
        <v>103</v>
      </c>
      <c r="G104" s="9">
        <v>0</v>
      </c>
      <c r="H104" s="10">
        <v>10</v>
      </c>
      <c r="I104" s="12">
        <f>Report_2025_Q4[[#This Row],[withdrawls villa ]]*Report_2025_Q4[[#This Row],[cost by unit ]]</f>
        <v>39</v>
      </c>
      <c r="J104" s="12">
        <v>10</v>
      </c>
      <c r="K104" s="12">
        <f>Report_2025_Q4[[#This Row],[withdrawls IBN ]]*Report_2025_Q4[[#This Row],[cost by unit ]]</f>
        <v>39</v>
      </c>
      <c r="L104" s="13">
        <v>3.9</v>
      </c>
      <c r="M104" s="13">
        <f>Report_2025_Q4[[#This Row],[cost villa ]]+Report_2025_Q4[[#This Row],[IBN cost ]]</f>
        <v>78</v>
      </c>
      <c r="N104" s="12">
        <f>Report_2025_Q4[[#This Row],[3 monthes  ORDER ]]*Report_2025_Q4[[#This Row],[cost by unit ]]</f>
        <v>78</v>
      </c>
      <c r="O104" s="5"/>
      <c r="P104" s="5"/>
    </row>
    <row r="105" spans="1:24" s="6" customFormat="1" ht="15.6">
      <c r="A105" s="8"/>
      <c r="B105" s="9">
        <v>104</v>
      </c>
      <c r="C105" s="37" t="s">
        <v>124</v>
      </c>
      <c r="D105" s="22" t="s">
        <v>16</v>
      </c>
      <c r="E105" s="10">
        <v>15</v>
      </c>
      <c r="F105" s="11" t="s">
        <v>103</v>
      </c>
      <c r="G105" s="9">
        <v>0</v>
      </c>
      <c r="H105" s="10">
        <v>10</v>
      </c>
      <c r="I105" s="12">
        <f>Report_2025_Q4[[#This Row],[withdrawls villa ]]*Report_2025_Q4[[#This Row],[cost by unit ]]</f>
        <v>55</v>
      </c>
      <c r="J105" s="12">
        <v>5</v>
      </c>
      <c r="K105" s="12">
        <f>Report_2025_Q4[[#This Row],[withdrawls IBN ]]*Report_2025_Q4[[#This Row],[cost by unit ]]</f>
        <v>27.5</v>
      </c>
      <c r="L105" s="13">
        <v>5.5</v>
      </c>
      <c r="M105" s="13">
        <f>Report_2025_Q4[[#This Row],[cost villa ]]+Report_2025_Q4[[#This Row],[IBN cost ]]</f>
        <v>82.5</v>
      </c>
      <c r="N105" s="12">
        <f>Report_2025_Q4[[#This Row],[3 monthes  ORDER ]]*Report_2025_Q4[[#This Row],[cost by unit ]]</f>
        <v>82.5</v>
      </c>
      <c r="O105" s="5"/>
      <c r="P105" s="5"/>
    </row>
    <row r="106" spans="1:24" s="6" customFormat="1" ht="15.6">
      <c r="A106" s="8"/>
      <c r="B106" s="9">
        <v>105</v>
      </c>
      <c r="C106" s="37" t="s">
        <v>125</v>
      </c>
      <c r="D106" s="22" t="s">
        <v>16</v>
      </c>
      <c r="E106" s="10">
        <v>10</v>
      </c>
      <c r="F106" s="11" t="s">
        <v>103</v>
      </c>
      <c r="G106" s="9">
        <v>0</v>
      </c>
      <c r="H106" s="10">
        <v>5</v>
      </c>
      <c r="I106" s="12">
        <f>Report_2025_Q4[[#This Row],[withdrawls villa ]]*Report_2025_Q4[[#This Row],[cost by unit ]]</f>
        <v>175</v>
      </c>
      <c r="J106" s="12">
        <v>5</v>
      </c>
      <c r="K106" s="12">
        <f>Report_2025_Q4[[#This Row],[withdrawls IBN ]]*Report_2025_Q4[[#This Row],[cost by unit ]]</f>
        <v>175</v>
      </c>
      <c r="L106" s="13">
        <v>35</v>
      </c>
      <c r="M106" s="13">
        <f>Report_2025_Q4[[#This Row],[cost villa ]]+Report_2025_Q4[[#This Row],[IBN cost ]]</f>
        <v>350</v>
      </c>
      <c r="N106" s="12">
        <f>Report_2025_Q4[[#This Row],[3 monthes  ORDER ]]*Report_2025_Q4[[#This Row],[cost by unit ]]</f>
        <v>350</v>
      </c>
      <c r="O106" s="5"/>
      <c r="P106" s="5"/>
    </row>
    <row r="107" spans="1:24" s="6" customFormat="1" ht="15.6">
      <c r="A107" s="8"/>
      <c r="B107" s="9">
        <v>106</v>
      </c>
      <c r="C107" s="37" t="s">
        <v>126</v>
      </c>
      <c r="D107" s="32" t="s">
        <v>11</v>
      </c>
      <c r="E107" s="10">
        <v>20</v>
      </c>
      <c r="F107" s="11" t="s">
        <v>103</v>
      </c>
      <c r="G107" s="9">
        <v>0</v>
      </c>
      <c r="H107" s="10">
        <v>15</v>
      </c>
      <c r="I107" s="12">
        <f>Report_2025_Q4[[#This Row],[withdrawls villa ]]*Report_2025_Q4[[#This Row],[cost by unit ]]</f>
        <v>112.5</v>
      </c>
      <c r="J107" s="12">
        <v>5</v>
      </c>
      <c r="K107" s="12">
        <f>Report_2025_Q4[[#This Row],[withdrawls IBN ]]*Report_2025_Q4[[#This Row],[cost by unit ]]</f>
        <v>37.5</v>
      </c>
      <c r="L107" s="13">
        <v>7.5</v>
      </c>
      <c r="M107" s="13">
        <f>Report_2025_Q4[[#This Row],[cost villa ]]+Report_2025_Q4[[#This Row],[IBN cost ]]</f>
        <v>150</v>
      </c>
      <c r="N107" s="12">
        <f>Report_2025_Q4[[#This Row],[3 monthes  ORDER ]]*Report_2025_Q4[[#This Row],[cost by unit ]]</f>
        <v>150</v>
      </c>
      <c r="O107" s="5"/>
      <c r="P107" s="5"/>
    </row>
    <row r="108" spans="1:24" s="6" customFormat="1" ht="15.6">
      <c r="A108" s="8"/>
      <c r="B108" s="9">
        <v>107</v>
      </c>
      <c r="C108" s="37" t="s">
        <v>127</v>
      </c>
      <c r="D108" s="22" t="s">
        <v>16</v>
      </c>
      <c r="E108" s="10">
        <v>20</v>
      </c>
      <c r="F108" s="11" t="s">
        <v>103</v>
      </c>
      <c r="G108" s="9">
        <v>0</v>
      </c>
      <c r="H108" s="10">
        <v>15</v>
      </c>
      <c r="I108" s="12">
        <f>Report_2025_Q4[[#This Row],[withdrawls villa ]]*Report_2025_Q4[[#This Row],[cost by unit ]]</f>
        <v>555</v>
      </c>
      <c r="J108" s="12">
        <v>5</v>
      </c>
      <c r="K108" s="12">
        <f>Report_2025_Q4[[#This Row],[withdrawls IBN ]]*Report_2025_Q4[[#This Row],[cost by unit ]]</f>
        <v>185</v>
      </c>
      <c r="L108" s="13">
        <v>37</v>
      </c>
      <c r="M108" s="13">
        <f>Report_2025_Q4[[#This Row],[cost villa ]]+Report_2025_Q4[[#This Row],[IBN cost ]]</f>
        <v>740</v>
      </c>
      <c r="N108" s="12">
        <f>Report_2025_Q4[[#This Row],[3 monthes  ORDER ]]*Report_2025_Q4[[#This Row],[cost by unit ]]</f>
        <v>740</v>
      </c>
      <c r="O108" s="5"/>
      <c r="P108" s="5"/>
    </row>
    <row r="109" spans="1:24" s="6" customFormat="1" ht="15.6">
      <c r="A109" s="8"/>
      <c r="B109" s="9">
        <v>108</v>
      </c>
      <c r="C109" s="37" t="s">
        <v>128</v>
      </c>
      <c r="D109" s="22" t="s">
        <v>16</v>
      </c>
      <c r="E109" s="10">
        <v>20</v>
      </c>
      <c r="F109" s="11" t="s">
        <v>103</v>
      </c>
      <c r="G109" s="9">
        <v>0</v>
      </c>
      <c r="H109" s="10">
        <v>15</v>
      </c>
      <c r="I109" s="12">
        <f>Report_2025_Q4[[#This Row],[withdrawls villa ]]*Report_2025_Q4[[#This Row],[cost by unit ]]</f>
        <v>555</v>
      </c>
      <c r="J109" s="12">
        <v>5</v>
      </c>
      <c r="K109" s="12">
        <f>Report_2025_Q4[[#This Row],[withdrawls IBN ]]*Report_2025_Q4[[#This Row],[cost by unit ]]</f>
        <v>185</v>
      </c>
      <c r="L109" s="13">
        <v>37</v>
      </c>
      <c r="M109" s="13">
        <f>Report_2025_Q4[[#This Row],[cost villa ]]+Report_2025_Q4[[#This Row],[IBN cost ]]</f>
        <v>740</v>
      </c>
      <c r="N109" s="12">
        <f>Report_2025_Q4[[#This Row],[3 monthes  ORDER ]]*Report_2025_Q4[[#This Row],[cost by unit ]]</f>
        <v>740</v>
      </c>
      <c r="O109" s="5"/>
      <c r="P109" s="5"/>
    </row>
    <row r="110" spans="1:24" s="6" customFormat="1" ht="15.6">
      <c r="A110" s="8"/>
      <c r="B110" s="9">
        <v>109</v>
      </c>
      <c r="C110" s="37" t="s">
        <v>129</v>
      </c>
      <c r="D110" s="32" t="s">
        <v>11</v>
      </c>
      <c r="E110" s="10">
        <v>120</v>
      </c>
      <c r="F110" s="11" t="s">
        <v>103</v>
      </c>
      <c r="G110" s="9">
        <v>0</v>
      </c>
      <c r="H110" s="10">
        <v>100</v>
      </c>
      <c r="I110" s="12">
        <f>Report_2025_Q4[[#This Row],[withdrawls villa ]]*Report_2025_Q4[[#This Row],[cost by unit ]]</f>
        <v>250</v>
      </c>
      <c r="J110" s="12">
        <v>20</v>
      </c>
      <c r="K110" s="12">
        <f>Report_2025_Q4[[#This Row],[withdrawls IBN ]]*Report_2025_Q4[[#This Row],[cost by unit ]]</f>
        <v>50</v>
      </c>
      <c r="L110" s="13">
        <v>2.5</v>
      </c>
      <c r="M110" s="13">
        <f>Report_2025_Q4[[#This Row],[cost villa ]]+Report_2025_Q4[[#This Row],[IBN cost ]]</f>
        <v>300</v>
      </c>
      <c r="N110" s="12">
        <f>Report_2025_Q4[[#This Row],[3 monthes  ORDER ]]*Report_2025_Q4[[#This Row],[cost by unit ]]</f>
        <v>300</v>
      </c>
      <c r="O110" s="5"/>
      <c r="P110" s="5"/>
    </row>
    <row r="111" spans="1:24" s="6" customFormat="1" ht="15.6">
      <c r="A111" s="8"/>
      <c r="B111" s="9">
        <v>110</v>
      </c>
      <c r="C111" s="37" t="s">
        <v>130</v>
      </c>
      <c r="D111" s="32" t="s">
        <v>11</v>
      </c>
      <c r="E111" s="10">
        <v>60</v>
      </c>
      <c r="F111" s="11" t="s">
        <v>103</v>
      </c>
      <c r="G111" s="9">
        <v>0</v>
      </c>
      <c r="H111" s="10">
        <v>40</v>
      </c>
      <c r="I111" s="12">
        <f>Report_2025_Q4[[#This Row],[withdrawls villa ]]*Report_2025_Q4[[#This Row],[cost by unit ]]</f>
        <v>100</v>
      </c>
      <c r="J111" s="12">
        <v>20</v>
      </c>
      <c r="K111" s="12">
        <f>Report_2025_Q4[[#This Row],[withdrawls IBN ]]*Report_2025_Q4[[#This Row],[cost by unit ]]</f>
        <v>50</v>
      </c>
      <c r="L111" s="13">
        <v>2.5</v>
      </c>
      <c r="M111" s="13">
        <f>Report_2025_Q4[[#This Row],[cost villa ]]+Report_2025_Q4[[#This Row],[IBN cost ]]</f>
        <v>150</v>
      </c>
      <c r="N111" s="12">
        <f>Report_2025_Q4[[#This Row],[3 monthes  ORDER ]]*Report_2025_Q4[[#This Row],[cost by unit ]]</f>
        <v>150</v>
      </c>
      <c r="O111" s="5"/>
      <c r="P111" s="5"/>
    </row>
    <row r="112" spans="1:24" s="6" customFormat="1" ht="15.6">
      <c r="A112" s="8"/>
      <c r="B112" s="9">
        <v>111</v>
      </c>
      <c r="C112" s="32" t="s">
        <v>131</v>
      </c>
      <c r="D112" s="22" t="s">
        <v>16</v>
      </c>
      <c r="E112" s="10">
        <v>28</v>
      </c>
      <c r="F112" s="11" t="s">
        <v>103</v>
      </c>
      <c r="G112" s="9">
        <v>0</v>
      </c>
      <c r="H112" s="10">
        <v>20</v>
      </c>
      <c r="I112" s="12">
        <f>Report_2025_Q4[[#This Row],[withdrawls villa ]]*Report_2025_Q4[[#This Row],[cost by unit ]]</f>
        <v>1380</v>
      </c>
      <c r="J112" s="12">
        <v>8</v>
      </c>
      <c r="K112" s="12">
        <f>Report_2025_Q4[[#This Row],[withdrawls IBN ]]*Report_2025_Q4[[#This Row],[cost by unit ]]</f>
        <v>552</v>
      </c>
      <c r="L112" s="13">
        <v>69</v>
      </c>
      <c r="M112" s="13">
        <f>Report_2025_Q4[[#This Row],[cost villa ]]+Report_2025_Q4[[#This Row],[IBN cost ]]</f>
        <v>1932</v>
      </c>
      <c r="N112" s="12">
        <f>Report_2025_Q4[[#This Row],[3 monthes  ORDER ]]*Report_2025_Q4[[#This Row],[cost by unit ]]</f>
        <v>1932</v>
      </c>
      <c r="O112" s="5"/>
      <c r="P112" s="5"/>
    </row>
    <row r="113" spans="1:24" s="6" customFormat="1" ht="15.6">
      <c r="A113" s="8"/>
      <c r="B113" s="9">
        <v>112</v>
      </c>
      <c r="C113" s="32" t="s">
        <v>132</v>
      </c>
      <c r="D113" s="22" t="s">
        <v>16</v>
      </c>
      <c r="E113" s="10">
        <v>6</v>
      </c>
      <c r="F113" s="11" t="s">
        <v>103</v>
      </c>
      <c r="G113" s="9">
        <v>0</v>
      </c>
      <c r="H113" s="10">
        <v>4</v>
      </c>
      <c r="I113" s="12">
        <f>Report_2025_Q4[[#This Row],[withdrawls villa ]]*Report_2025_Q4[[#This Row],[cost by unit ]]</f>
        <v>80</v>
      </c>
      <c r="J113" s="12">
        <v>2</v>
      </c>
      <c r="K113" s="12">
        <f>Report_2025_Q4[[#This Row],[withdrawls IBN ]]*Report_2025_Q4[[#This Row],[cost by unit ]]</f>
        <v>40</v>
      </c>
      <c r="L113" s="13">
        <v>20</v>
      </c>
      <c r="M113" s="13">
        <f>Report_2025_Q4[[#This Row],[cost villa ]]+Report_2025_Q4[[#This Row],[IBN cost ]]</f>
        <v>120</v>
      </c>
      <c r="N113" s="12">
        <f>Report_2025_Q4[[#This Row],[3 monthes  ORDER ]]*Report_2025_Q4[[#This Row],[cost by unit ]]</f>
        <v>120</v>
      </c>
      <c r="O113" s="5"/>
      <c r="P113" s="5"/>
    </row>
    <row r="114" spans="1:24" s="6" customFormat="1" ht="15.6">
      <c r="A114" s="8"/>
      <c r="B114" s="9">
        <v>113</v>
      </c>
      <c r="C114" s="32" t="s">
        <v>133</v>
      </c>
      <c r="D114" s="32" t="s">
        <v>134</v>
      </c>
      <c r="E114" s="10">
        <v>30</v>
      </c>
      <c r="F114" s="11" t="s">
        <v>103</v>
      </c>
      <c r="G114" s="9">
        <v>0</v>
      </c>
      <c r="H114" s="10">
        <v>15</v>
      </c>
      <c r="I114" s="12">
        <f>Report_2025_Q4[[#This Row],[withdrawls villa ]]*Report_2025_Q4[[#This Row],[cost by unit ]]</f>
        <v>510</v>
      </c>
      <c r="J114" s="12">
        <v>15</v>
      </c>
      <c r="K114" s="12">
        <f>Report_2025_Q4[[#This Row],[withdrawls IBN ]]*Report_2025_Q4[[#This Row],[cost by unit ]]</f>
        <v>510</v>
      </c>
      <c r="L114" s="13">
        <v>34</v>
      </c>
      <c r="M114" s="13">
        <f>Report_2025_Q4[[#This Row],[cost villa ]]+Report_2025_Q4[[#This Row],[IBN cost ]]</f>
        <v>1020</v>
      </c>
      <c r="N114" s="12">
        <f>Report_2025_Q4[[#This Row],[3 monthes  ORDER ]]*Report_2025_Q4[[#This Row],[cost by unit ]]</f>
        <v>1020</v>
      </c>
      <c r="O114" s="5"/>
      <c r="P114" s="5"/>
    </row>
    <row r="115" spans="1:24" s="2" customFormat="1" ht="20.95">
      <c r="A115" s="42"/>
      <c r="B115" s="42"/>
      <c r="C115" s="43"/>
      <c r="D115" s="44"/>
      <c r="E115" s="44"/>
      <c r="F115" s="44"/>
      <c r="G115" s="44"/>
      <c r="H115" s="44"/>
      <c r="I115" s="44">
        <f>SUM(Report_2025_Q4[[cost villa ]])</f>
        <v>170818.07500000001</v>
      </c>
      <c r="J115" s="44"/>
      <c r="K115" s="44">
        <f>SUM(Report_2025_Q4[[IBN cost ]])</f>
        <v>103573.745</v>
      </c>
      <c r="L115" s="44"/>
      <c r="M115" s="45">
        <f>SUM(Report_2025_Q4[[total cost of stocks ]])</f>
        <v>274391.82</v>
      </c>
      <c r="N115" s="45">
        <f>SUM(Report_2025_Q4[[totall cost of needed stck ]])</f>
        <v>274391.82</v>
      </c>
      <c r="O115" s="1"/>
      <c r="P115" s="1"/>
    </row>
    <row r="116" spans="1:2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2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2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2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2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2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2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52"/>
      <c r="P122" s="52"/>
      <c r="Q122" s="52"/>
      <c r="R122" s="52"/>
      <c r="S122" s="52"/>
      <c r="T122" s="52"/>
      <c r="U122" s="52"/>
      <c r="V122" s="52"/>
      <c r="W122" s="52"/>
      <c r="X122" s="52"/>
    </row>
    <row r="123" spans="1:2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2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BD50-FAB5-4223-B995-FF6D813BB380}">
  <dimension ref="A1:EQ123"/>
  <sheetViews>
    <sheetView zoomScale="115" zoomScaleNormal="115" workbookViewId="0">
      <selection activeCell="C6" sqref="C6"/>
    </sheetView>
  </sheetViews>
  <sheetFormatPr defaultRowHeight="14"/>
  <cols>
    <col min="1" max="1" width="9.3984375" style="1" bestFit="1" customWidth="1"/>
    <col min="2" max="2" width="8" style="1" bestFit="1" customWidth="1"/>
    <col min="3" max="3" width="47.59765625" style="1" bestFit="1" customWidth="1"/>
    <col min="4" max="4" width="9.19921875" style="1" bestFit="1" customWidth="1"/>
    <col min="5" max="5" width="22.19921875" style="1" bestFit="1" customWidth="1"/>
    <col min="6" max="6" width="23.59765625" style="1" customWidth="1"/>
    <col min="7" max="7" width="17.5" style="1" customWidth="1"/>
    <col min="8" max="8" width="18.8984375" style="1" bestFit="1" customWidth="1"/>
    <col min="9" max="9" width="13" style="1" bestFit="1" customWidth="1"/>
    <col min="10" max="10" width="18.5" style="1" bestFit="1" customWidth="1"/>
    <col min="11" max="11" width="12.59765625" style="1" bestFit="1" customWidth="1"/>
    <col min="12" max="12" width="15.5" style="1" bestFit="1" customWidth="1"/>
    <col min="13" max="13" width="21.796875" style="1" bestFit="1" customWidth="1"/>
    <col min="14" max="14" width="27.19921875" style="1" bestFit="1" customWidth="1"/>
    <col min="17" max="17" width="0" hidden="1" customWidth="1"/>
    <col min="19" max="19" width="9.5" hidden="1" customWidth="1"/>
  </cols>
  <sheetData>
    <row r="1" spans="1:147" s="7" customFormat="1">
      <c r="A1" s="3" t="s">
        <v>136</v>
      </c>
      <c r="B1" s="3" t="s">
        <v>0</v>
      </c>
      <c r="C1" s="4" t="s">
        <v>138</v>
      </c>
      <c r="D1" s="3" t="s">
        <v>1</v>
      </c>
      <c r="E1" s="3" t="s">
        <v>135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</row>
    <row r="2" spans="1:147" s="6" customFormat="1" ht="27.95">
      <c r="A2" s="8"/>
      <c r="B2" s="9">
        <v>1</v>
      </c>
      <c r="C2" s="21" t="s">
        <v>13</v>
      </c>
      <c r="D2" s="22" t="s">
        <v>14</v>
      </c>
      <c r="E2" s="10">
        <v>110</v>
      </c>
      <c r="F2" s="11" t="s">
        <v>12</v>
      </c>
      <c r="G2" s="9">
        <v>0</v>
      </c>
      <c r="H2" s="12">
        <v>79</v>
      </c>
      <c r="I2" s="12">
        <f>Report_2026_Q1[[#This Row],[withdrawls villa ]]*Report_2026_Q1[[#This Row],[cost by unit ]]</f>
        <v>6320</v>
      </c>
      <c r="J2" s="12">
        <v>11</v>
      </c>
      <c r="K2" s="12">
        <f>Report_2026_Q1[[#This Row],[withdrawls IBN ]]*Report_2026_Q1[[#This Row],[cost by unit ]]</f>
        <v>880</v>
      </c>
      <c r="L2" s="53">
        <v>80</v>
      </c>
      <c r="M2" s="13">
        <f>Report_2026_Q1[[#This Row],[cost villa ]]+Report_2026_Q1[[#This Row],[IBN cost ]]</f>
        <v>7200</v>
      </c>
      <c r="N2" s="12">
        <f>Report_2026_Q1[[#This Row],[3 monthes  ORDER ]]*Report_2026_Q1[[#This Row],[cost by unit ]]</f>
        <v>8800</v>
      </c>
      <c r="O2" s="5"/>
      <c r="P2" s="5"/>
      <c r="Q2" s="49">
        <f>Report_2026_Q1[[#This Row],[withdrawls villa ]]+Report_2026_Q1[[#This Row],[withdrawls IBN ]]</f>
        <v>90</v>
      </c>
      <c r="S2" s="49">
        <f>Report_2026_Q1[[#This Row],[3 monthes  ORDER ]]-Q2</f>
        <v>20</v>
      </c>
    </row>
    <row r="3" spans="1:147" s="6" customFormat="1" ht="15.6">
      <c r="A3" s="8"/>
      <c r="B3" s="9">
        <v>2</v>
      </c>
      <c r="C3" s="21" t="s">
        <v>15</v>
      </c>
      <c r="D3" s="22" t="s">
        <v>16</v>
      </c>
      <c r="E3" s="10">
        <v>3</v>
      </c>
      <c r="F3" s="11" t="s">
        <v>12</v>
      </c>
      <c r="G3" s="9">
        <v>0</v>
      </c>
      <c r="H3" s="12">
        <v>1.5</v>
      </c>
      <c r="I3" s="12">
        <f>Report_2026_Q1[[#This Row],[withdrawls villa ]]*Report_2026_Q1[[#This Row],[cost by unit ]]</f>
        <v>398.47499999999997</v>
      </c>
      <c r="J3" s="12"/>
      <c r="K3" s="12">
        <f>Report_2026_Q1[[#This Row],[withdrawls IBN ]]*Report_2026_Q1[[#This Row],[cost by unit ]]</f>
        <v>0</v>
      </c>
      <c r="L3" s="53">
        <v>265.64999999999998</v>
      </c>
      <c r="M3" s="13">
        <f>Report_2026_Q1[[#This Row],[cost villa ]]+Report_2026_Q1[[#This Row],[IBN cost ]]</f>
        <v>398.47499999999997</v>
      </c>
      <c r="N3" s="12">
        <f>Report_2026_Q1[[#This Row],[3 monthes  ORDER ]]*Report_2026_Q1[[#This Row],[cost by unit ]]</f>
        <v>796.94999999999993</v>
      </c>
      <c r="O3" s="5"/>
      <c r="P3" s="5"/>
      <c r="Q3" s="49">
        <f>Report_2026_Q1[[#This Row],[withdrawls villa ]]+Report_2026_Q1[[#This Row],[withdrawls IBN ]]</f>
        <v>1.5</v>
      </c>
      <c r="S3" s="49">
        <f>Report_2026_Q1[[#This Row],[3 monthes  ORDER ]]-Q3</f>
        <v>1.5</v>
      </c>
    </row>
    <row r="4" spans="1:147" s="6" customFormat="1" ht="27.95">
      <c r="A4" s="8"/>
      <c r="B4" s="9">
        <v>3</v>
      </c>
      <c r="C4" s="25" t="s">
        <v>17</v>
      </c>
      <c r="D4" s="22" t="s">
        <v>16</v>
      </c>
      <c r="E4" s="10">
        <v>3</v>
      </c>
      <c r="F4" s="11" t="s">
        <v>12</v>
      </c>
      <c r="G4" s="9">
        <v>0</v>
      </c>
      <c r="H4" s="12">
        <v>1.1000000000000001</v>
      </c>
      <c r="I4" s="12">
        <f>Report_2026_Q1[[#This Row],[withdrawls villa ]]*Report_2026_Q1[[#This Row],[cost by unit ]]</f>
        <v>369.6</v>
      </c>
      <c r="J4" s="12">
        <v>1</v>
      </c>
      <c r="K4" s="12">
        <f>Report_2026_Q1[[#This Row],[withdrawls IBN ]]*Report_2026_Q1[[#This Row],[cost by unit ]]</f>
        <v>336</v>
      </c>
      <c r="L4" s="53">
        <v>336</v>
      </c>
      <c r="M4" s="13">
        <f>Report_2026_Q1[[#This Row],[cost villa ]]+Report_2026_Q1[[#This Row],[IBN cost ]]</f>
        <v>705.6</v>
      </c>
      <c r="N4" s="12">
        <f>Report_2026_Q1[[#This Row],[3 monthes  ORDER ]]*Report_2026_Q1[[#This Row],[cost by unit ]]</f>
        <v>1008</v>
      </c>
      <c r="O4" s="5"/>
      <c r="P4" s="5"/>
      <c r="Q4" s="49">
        <f>Report_2026_Q1[[#This Row],[withdrawls villa ]]+Report_2026_Q1[[#This Row],[withdrawls IBN ]]</f>
        <v>2.1</v>
      </c>
      <c r="S4" s="49">
        <f>Report_2026_Q1[[#This Row],[3 monthes  ORDER ]]-Q4</f>
        <v>0.89999999999999991</v>
      </c>
    </row>
    <row r="5" spans="1:147" s="6" customFormat="1" ht="27.95">
      <c r="A5" s="8"/>
      <c r="B5" s="9">
        <v>4</v>
      </c>
      <c r="C5" s="21" t="s">
        <v>18</v>
      </c>
      <c r="D5" s="22" t="s">
        <v>16</v>
      </c>
      <c r="E5" s="10">
        <v>3</v>
      </c>
      <c r="F5" s="11" t="s">
        <v>12</v>
      </c>
      <c r="G5" s="9">
        <v>0</v>
      </c>
      <c r="H5" s="12">
        <v>1</v>
      </c>
      <c r="I5" s="12">
        <f>Report_2026_Q1[[#This Row],[withdrawls villa ]]*Report_2026_Q1[[#This Row],[cost by unit ]]</f>
        <v>336</v>
      </c>
      <c r="J5" s="12">
        <v>0.5</v>
      </c>
      <c r="K5" s="12">
        <f>Report_2026_Q1[[#This Row],[withdrawls IBN ]]*Report_2026_Q1[[#This Row],[cost by unit ]]</f>
        <v>168</v>
      </c>
      <c r="L5" s="53">
        <v>336</v>
      </c>
      <c r="M5" s="13">
        <f>Report_2026_Q1[[#This Row],[cost villa ]]+Report_2026_Q1[[#This Row],[IBN cost ]]</f>
        <v>504</v>
      </c>
      <c r="N5" s="12">
        <f>Report_2026_Q1[[#This Row],[3 monthes  ORDER ]]*Report_2026_Q1[[#This Row],[cost by unit ]]</f>
        <v>1008</v>
      </c>
      <c r="O5" s="5"/>
      <c r="P5" s="5"/>
      <c r="Q5" s="49">
        <f>Report_2026_Q1[[#This Row],[withdrawls villa ]]+Report_2026_Q1[[#This Row],[withdrawls IBN ]]</f>
        <v>1.5</v>
      </c>
      <c r="S5" s="49">
        <f>Report_2026_Q1[[#This Row],[3 monthes  ORDER ]]-Q5</f>
        <v>1.5</v>
      </c>
    </row>
    <row r="6" spans="1:147" s="6" customFormat="1" ht="15.6">
      <c r="A6" s="8"/>
      <c r="B6" s="9">
        <v>5</v>
      </c>
      <c r="C6" s="21" t="s">
        <v>19</v>
      </c>
      <c r="D6" s="22" t="s">
        <v>16</v>
      </c>
      <c r="E6" s="10">
        <v>3</v>
      </c>
      <c r="F6" s="11" t="s">
        <v>12</v>
      </c>
      <c r="G6" s="9">
        <v>0</v>
      </c>
      <c r="H6" s="12">
        <v>1</v>
      </c>
      <c r="I6" s="12">
        <f>Report_2026_Q1[[#This Row],[withdrawls villa ]]*Report_2026_Q1[[#This Row],[cost by unit ]]</f>
        <v>336</v>
      </c>
      <c r="J6" s="12">
        <v>1</v>
      </c>
      <c r="K6" s="12">
        <f>Report_2026_Q1[[#This Row],[withdrawls IBN ]]*Report_2026_Q1[[#This Row],[cost by unit ]]</f>
        <v>336</v>
      </c>
      <c r="L6" s="53">
        <v>336</v>
      </c>
      <c r="M6" s="13">
        <f>Report_2026_Q1[[#This Row],[cost villa ]]+Report_2026_Q1[[#This Row],[IBN cost ]]</f>
        <v>672</v>
      </c>
      <c r="N6" s="12">
        <f>Report_2026_Q1[[#This Row],[3 monthes  ORDER ]]*Report_2026_Q1[[#This Row],[cost by unit ]]</f>
        <v>1008</v>
      </c>
      <c r="O6" s="5"/>
      <c r="P6" s="5"/>
      <c r="Q6" s="49">
        <f>Report_2026_Q1[[#This Row],[withdrawls villa ]]+Report_2026_Q1[[#This Row],[withdrawls IBN ]]</f>
        <v>2</v>
      </c>
      <c r="S6" s="49">
        <f>Report_2026_Q1[[#This Row],[3 monthes  ORDER ]]-Q6</f>
        <v>1</v>
      </c>
    </row>
    <row r="7" spans="1:147" s="6" customFormat="1" ht="15.6">
      <c r="A7" s="8"/>
      <c r="B7" s="9">
        <v>6</v>
      </c>
      <c r="C7" s="21" t="s">
        <v>20</v>
      </c>
      <c r="D7" s="22" t="s">
        <v>16</v>
      </c>
      <c r="E7" s="10">
        <v>3</v>
      </c>
      <c r="F7" s="11" t="s">
        <v>12</v>
      </c>
      <c r="G7" s="9">
        <v>0</v>
      </c>
      <c r="H7" s="12">
        <v>1.5</v>
      </c>
      <c r="I7" s="12">
        <f>Report_2026_Q1[[#This Row],[withdrawls villa ]]*Report_2026_Q1[[#This Row],[cost by unit ]]</f>
        <v>504</v>
      </c>
      <c r="J7" s="12">
        <v>1</v>
      </c>
      <c r="K7" s="12">
        <f>Report_2026_Q1[[#This Row],[withdrawls IBN ]]*Report_2026_Q1[[#This Row],[cost by unit ]]</f>
        <v>336</v>
      </c>
      <c r="L7" s="53">
        <v>336</v>
      </c>
      <c r="M7" s="13">
        <f>Report_2026_Q1[[#This Row],[cost villa ]]+Report_2026_Q1[[#This Row],[IBN cost ]]</f>
        <v>840</v>
      </c>
      <c r="N7" s="12">
        <f>Report_2026_Q1[[#This Row],[3 monthes  ORDER ]]*Report_2026_Q1[[#This Row],[cost by unit ]]</f>
        <v>1008</v>
      </c>
      <c r="O7" s="5"/>
      <c r="P7" s="5"/>
      <c r="Q7" s="49">
        <f>Report_2026_Q1[[#This Row],[withdrawls villa ]]+Report_2026_Q1[[#This Row],[withdrawls IBN ]]</f>
        <v>2.5</v>
      </c>
      <c r="S7" s="49">
        <f>Report_2026_Q1[[#This Row],[3 monthes  ORDER ]]-Q7</f>
        <v>0.5</v>
      </c>
    </row>
    <row r="8" spans="1:147" s="6" customFormat="1" ht="27.95">
      <c r="A8" s="8"/>
      <c r="B8" s="9">
        <v>7</v>
      </c>
      <c r="C8" s="21" t="s">
        <v>21</v>
      </c>
      <c r="D8" s="22" t="s">
        <v>16</v>
      </c>
      <c r="E8" s="10">
        <v>3</v>
      </c>
      <c r="F8" s="11" t="s">
        <v>12</v>
      </c>
      <c r="G8" s="9">
        <v>0</v>
      </c>
      <c r="H8" s="12">
        <v>1</v>
      </c>
      <c r="I8" s="12">
        <f>Report_2026_Q1[[#This Row],[withdrawls villa ]]*Report_2026_Q1[[#This Row],[cost by unit ]]</f>
        <v>336</v>
      </c>
      <c r="J8" s="12">
        <v>0.9</v>
      </c>
      <c r="K8" s="12">
        <f>Report_2026_Q1[[#This Row],[withdrawls IBN ]]*Report_2026_Q1[[#This Row],[cost by unit ]]</f>
        <v>302.40000000000003</v>
      </c>
      <c r="L8" s="53">
        <v>336</v>
      </c>
      <c r="M8" s="13">
        <f>Report_2026_Q1[[#This Row],[cost villa ]]+Report_2026_Q1[[#This Row],[IBN cost ]]</f>
        <v>638.40000000000009</v>
      </c>
      <c r="N8" s="12">
        <f>Report_2026_Q1[[#This Row],[3 monthes  ORDER ]]*Report_2026_Q1[[#This Row],[cost by unit ]]</f>
        <v>1008</v>
      </c>
      <c r="O8" s="5"/>
      <c r="P8" s="5"/>
      <c r="Q8" s="49">
        <f>Report_2026_Q1[[#This Row],[withdrawls villa ]]+Report_2026_Q1[[#This Row],[withdrawls IBN ]]</f>
        <v>1.9</v>
      </c>
      <c r="S8" s="49">
        <f>Report_2026_Q1[[#This Row],[3 monthes  ORDER ]]-Q8</f>
        <v>1.1000000000000001</v>
      </c>
    </row>
    <row r="9" spans="1:147" s="6" customFormat="1" ht="15.6">
      <c r="A9" s="8"/>
      <c r="B9" s="9">
        <v>8</v>
      </c>
      <c r="C9" s="21" t="s">
        <v>22</v>
      </c>
      <c r="D9" s="22" t="s">
        <v>16</v>
      </c>
      <c r="E9" s="10">
        <v>3</v>
      </c>
      <c r="F9" s="11" t="s">
        <v>12</v>
      </c>
      <c r="G9" s="9">
        <v>0</v>
      </c>
      <c r="H9" s="12">
        <v>1</v>
      </c>
      <c r="I9" s="12">
        <f>Report_2026_Q1[[#This Row],[withdrawls villa ]]*Report_2026_Q1[[#This Row],[cost by unit ]]</f>
        <v>210</v>
      </c>
      <c r="J9" s="12">
        <v>1</v>
      </c>
      <c r="K9" s="12">
        <f>Report_2026_Q1[[#This Row],[withdrawls IBN ]]*Report_2026_Q1[[#This Row],[cost by unit ]]</f>
        <v>210</v>
      </c>
      <c r="L9" s="53">
        <v>210</v>
      </c>
      <c r="M9" s="13">
        <f>Report_2026_Q1[[#This Row],[cost villa ]]+Report_2026_Q1[[#This Row],[IBN cost ]]</f>
        <v>420</v>
      </c>
      <c r="N9" s="12">
        <f>Report_2026_Q1[[#This Row],[3 monthes  ORDER ]]*Report_2026_Q1[[#This Row],[cost by unit ]]</f>
        <v>630</v>
      </c>
      <c r="O9" s="5"/>
      <c r="P9" s="5"/>
      <c r="Q9" s="49">
        <f>Report_2026_Q1[[#This Row],[withdrawls villa ]]+Report_2026_Q1[[#This Row],[withdrawls IBN ]]</f>
        <v>2</v>
      </c>
      <c r="S9" s="49">
        <f>Report_2026_Q1[[#This Row],[3 monthes  ORDER ]]-Q9</f>
        <v>1</v>
      </c>
    </row>
    <row r="10" spans="1:147" s="6" customFormat="1" ht="15.6">
      <c r="A10" s="8"/>
      <c r="B10" s="9">
        <v>9</v>
      </c>
      <c r="C10" s="21" t="s">
        <v>23</v>
      </c>
      <c r="D10" s="22" t="s">
        <v>24</v>
      </c>
      <c r="E10" s="10">
        <v>50</v>
      </c>
      <c r="F10" s="11" t="s">
        <v>12</v>
      </c>
      <c r="G10" s="9">
        <v>0</v>
      </c>
      <c r="H10" s="12">
        <v>20</v>
      </c>
      <c r="I10" s="12">
        <f>Report_2026_Q1[[#This Row],[withdrawls villa ]]*Report_2026_Q1[[#This Row],[cost by unit ]]</f>
        <v>210</v>
      </c>
      <c r="J10" s="12">
        <v>10</v>
      </c>
      <c r="K10" s="12">
        <f>Report_2026_Q1[[#This Row],[withdrawls IBN ]]*Report_2026_Q1[[#This Row],[cost by unit ]]</f>
        <v>105</v>
      </c>
      <c r="L10" s="53">
        <v>10.5</v>
      </c>
      <c r="M10" s="13">
        <f>Report_2026_Q1[[#This Row],[cost villa ]]+Report_2026_Q1[[#This Row],[IBN cost ]]</f>
        <v>315</v>
      </c>
      <c r="N10" s="12">
        <f>Report_2026_Q1[[#This Row],[3 monthes  ORDER ]]*Report_2026_Q1[[#This Row],[cost by unit ]]</f>
        <v>525</v>
      </c>
      <c r="O10" s="5"/>
      <c r="P10" s="5"/>
      <c r="Q10" s="49">
        <f>Report_2026_Q1[[#This Row],[withdrawls villa ]]+Report_2026_Q1[[#This Row],[withdrawls IBN ]]</f>
        <v>30</v>
      </c>
      <c r="S10" s="49">
        <f>Report_2026_Q1[[#This Row],[3 monthes  ORDER ]]-Q10</f>
        <v>20</v>
      </c>
    </row>
    <row r="11" spans="1:147" s="6" customFormat="1" ht="15.6">
      <c r="A11" s="8"/>
      <c r="B11" s="9">
        <v>10</v>
      </c>
      <c r="C11" s="21" t="s">
        <v>25</v>
      </c>
      <c r="D11" s="22" t="s">
        <v>24</v>
      </c>
      <c r="E11" s="10">
        <v>30</v>
      </c>
      <c r="F11" s="11" t="s">
        <v>12</v>
      </c>
      <c r="G11" s="9">
        <v>0</v>
      </c>
      <c r="H11" s="12">
        <v>21</v>
      </c>
      <c r="I11" s="12">
        <f>Report_2026_Q1[[#This Row],[withdrawls villa ]]*Report_2026_Q1[[#This Row],[cost by unit ]]</f>
        <v>220.5</v>
      </c>
      <c r="J11" s="12"/>
      <c r="K11" s="12">
        <f>Report_2026_Q1[[#This Row],[withdrawls IBN ]]*Report_2026_Q1[[#This Row],[cost by unit ]]</f>
        <v>0</v>
      </c>
      <c r="L11" s="53">
        <v>10.5</v>
      </c>
      <c r="M11" s="13">
        <f>Report_2026_Q1[[#This Row],[cost villa ]]+Report_2026_Q1[[#This Row],[IBN cost ]]</f>
        <v>220.5</v>
      </c>
      <c r="N11" s="12">
        <f>Report_2026_Q1[[#This Row],[3 monthes  ORDER ]]*Report_2026_Q1[[#This Row],[cost by unit ]]</f>
        <v>315</v>
      </c>
      <c r="O11" s="5"/>
      <c r="P11" s="5"/>
      <c r="Q11" s="49">
        <f>Report_2026_Q1[[#This Row],[withdrawls villa ]]+Report_2026_Q1[[#This Row],[withdrawls IBN ]]</f>
        <v>21</v>
      </c>
      <c r="S11" s="49">
        <f>Report_2026_Q1[[#This Row],[3 monthes  ORDER ]]-Q11</f>
        <v>9</v>
      </c>
    </row>
    <row r="12" spans="1:147" s="6" customFormat="1" ht="27.95">
      <c r="A12" s="8"/>
      <c r="B12" s="9">
        <v>11</v>
      </c>
      <c r="C12" s="21" t="s">
        <v>26</v>
      </c>
      <c r="D12" s="22" t="s">
        <v>24</v>
      </c>
      <c r="E12" s="10">
        <v>30</v>
      </c>
      <c r="F12" s="11" t="s">
        <v>12</v>
      </c>
      <c r="G12" s="9">
        <v>0</v>
      </c>
      <c r="H12" s="12">
        <v>26</v>
      </c>
      <c r="I12" s="12">
        <f>Report_2026_Q1[[#This Row],[withdrawls villa ]]*Report_2026_Q1[[#This Row],[cost by unit ]]</f>
        <v>273</v>
      </c>
      <c r="J12" s="12"/>
      <c r="K12" s="12">
        <f>Report_2026_Q1[[#This Row],[withdrawls IBN ]]*Report_2026_Q1[[#This Row],[cost by unit ]]</f>
        <v>0</v>
      </c>
      <c r="L12" s="53">
        <v>10.5</v>
      </c>
      <c r="M12" s="13">
        <f>Report_2026_Q1[[#This Row],[cost villa ]]+Report_2026_Q1[[#This Row],[IBN cost ]]</f>
        <v>273</v>
      </c>
      <c r="N12" s="12">
        <f>Report_2026_Q1[[#This Row],[3 monthes  ORDER ]]*Report_2026_Q1[[#This Row],[cost by unit ]]</f>
        <v>315</v>
      </c>
      <c r="O12" s="5"/>
      <c r="P12" s="5"/>
      <c r="Q12" s="49">
        <f>Report_2026_Q1[[#This Row],[withdrawls villa ]]+Report_2026_Q1[[#This Row],[withdrawls IBN ]]</f>
        <v>26</v>
      </c>
      <c r="S12" s="49">
        <f>Report_2026_Q1[[#This Row],[3 monthes  ORDER ]]-Q12</f>
        <v>4</v>
      </c>
    </row>
    <row r="13" spans="1:147" s="6" customFormat="1" ht="27.95">
      <c r="A13" s="8"/>
      <c r="B13" s="9">
        <v>12</v>
      </c>
      <c r="C13" s="21" t="s">
        <v>27</v>
      </c>
      <c r="D13" s="22" t="s">
        <v>28</v>
      </c>
      <c r="E13" s="10">
        <v>10</v>
      </c>
      <c r="F13" s="11" t="s">
        <v>12</v>
      </c>
      <c r="G13" s="9">
        <v>0</v>
      </c>
      <c r="H13" s="12">
        <v>9</v>
      </c>
      <c r="I13" s="12">
        <f>Report_2026_Q1[[#This Row],[withdrawls villa ]]*Report_2026_Q1[[#This Row],[cost by unit ]]</f>
        <v>148.005</v>
      </c>
      <c r="J13" s="12"/>
      <c r="K13" s="12">
        <f>Report_2026_Q1[[#This Row],[withdrawls IBN ]]*Report_2026_Q1[[#This Row],[cost by unit ]]</f>
        <v>0</v>
      </c>
      <c r="L13" s="53">
        <v>16.445</v>
      </c>
      <c r="M13" s="13">
        <f>Report_2026_Q1[[#This Row],[cost villa ]]+Report_2026_Q1[[#This Row],[IBN cost ]]</f>
        <v>148.005</v>
      </c>
      <c r="N13" s="12">
        <f>Report_2026_Q1[[#This Row],[3 monthes  ORDER ]]*Report_2026_Q1[[#This Row],[cost by unit ]]</f>
        <v>164.45</v>
      </c>
      <c r="O13" s="5"/>
      <c r="P13" s="5"/>
      <c r="Q13" s="49">
        <f>Report_2026_Q1[[#This Row],[withdrawls villa ]]+Report_2026_Q1[[#This Row],[withdrawls IBN ]]</f>
        <v>9</v>
      </c>
      <c r="S13" s="49">
        <f>Report_2026_Q1[[#This Row],[3 monthes  ORDER ]]-Q13</f>
        <v>1</v>
      </c>
    </row>
    <row r="14" spans="1:147" s="6" customFormat="1" ht="15.6">
      <c r="A14" s="8"/>
      <c r="B14" s="9">
        <v>13</v>
      </c>
      <c r="C14" s="26" t="s">
        <v>29</v>
      </c>
      <c r="D14" s="22" t="s">
        <v>30</v>
      </c>
      <c r="E14" s="10">
        <v>720</v>
      </c>
      <c r="F14" s="11" t="s">
        <v>12</v>
      </c>
      <c r="G14" s="9">
        <v>0</v>
      </c>
      <c r="H14" s="12">
        <v>443</v>
      </c>
      <c r="I14" s="12">
        <f>Report_2026_Q1[[#This Row],[withdrawls villa ]]*Report_2026_Q1[[#This Row],[cost by unit ]]</f>
        <v>5316</v>
      </c>
      <c r="J14" s="12">
        <v>6</v>
      </c>
      <c r="K14" s="12">
        <f>Report_2026_Q1[[#This Row],[withdrawls IBN ]]*Report_2026_Q1[[#This Row],[cost by unit ]]</f>
        <v>72</v>
      </c>
      <c r="L14" s="53">
        <v>12</v>
      </c>
      <c r="M14" s="13">
        <f>Report_2026_Q1[[#This Row],[cost villa ]]+Report_2026_Q1[[#This Row],[IBN cost ]]</f>
        <v>5388</v>
      </c>
      <c r="N14" s="12">
        <f>Report_2026_Q1[[#This Row],[3 monthes  ORDER ]]*Report_2026_Q1[[#This Row],[cost by unit ]]</f>
        <v>8640</v>
      </c>
      <c r="O14" s="5"/>
      <c r="P14" s="5"/>
      <c r="Q14" s="49">
        <f>Report_2026_Q1[[#This Row],[withdrawls villa ]]+Report_2026_Q1[[#This Row],[withdrawls IBN ]]</f>
        <v>449</v>
      </c>
      <c r="S14" s="49">
        <f>Report_2026_Q1[[#This Row],[3 monthes  ORDER ]]-Q14</f>
        <v>271</v>
      </c>
    </row>
    <row r="15" spans="1:147" s="6" customFormat="1" ht="15.6">
      <c r="A15" s="8"/>
      <c r="B15" s="9">
        <v>14</v>
      </c>
      <c r="C15" s="26" t="s">
        <v>31</v>
      </c>
      <c r="D15" s="22" t="s">
        <v>24</v>
      </c>
      <c r="E15" s="10">
        <v>20</v>
      </c>
      <c r="F15" s="11" t="s">
        <v>12</v>
      </c>
      <c r="G15" s="9">
        <v>0</v>
      </c>
      <c r="H15" s="12">
        <v>11</v>
      </c>
      <c r="I15" s="12">
        <f>Report_2026_Q1[[#This Row],[withdrawls villa ]]*Report_2026_Q1[[#This Row],[cost by unit ]]</f>
        <v>528</v>
      </c>
      <c r="J15" s="12"/>
      <c r="K15" s="12">
        <f>Report_2026_Q1[[#This Row],[withdrawls IBN ]]*Report_2026_Q1[[#This Row],[cost by unit ]]</f>
        <v>0</v>
      </c>
      <c r="L15" s="53">
        <v>48</v>
      </c>
      <c r="M15" s="13">
        <f>Report_2026_Q1[[#This Row],[cost villa ]]+Report_2026_Q1[[#This Row],[IBN cost ]]</f>
        <v>528</v>
      </c>
      <c r="N15" s="12">
        <f>Report_2026_Q1[[#This Row],[3 monthes  ORDER ]]*Report_2026_Q1[[#This Row],[cost by unit ]]</f>
        <v>960</v>
      </c>
      <c r="O15" s="5"/>
      <c r="P15" s="5"/>
      <c r="Q15" s="49">
        <f>Report_2026_Q1[[#This Row],[withdrawls villa ]]+Report_2026_Q1[[#This Row],[withdrawls IBN ]]</f>
        <v>11</v>
      </c>
      <c r="S15" s="49">
        <f>Report_2026_Q1[[#This Row],[3 monthes  ORDER ]]-Q15</f>
        <v>9</v>
      </c>
    </row>
    <row r="16" spans="1:147" s="6" customFormat="1" ht="15.6">
      <c r="A16" s="8"/>
      <c r="B16" s="9">
        <v>15</v>
      </c>
      <c r="C16" s="26" t="s">
        <v>32</v>
      </c>
      <c r="D16" s="22" t="s">
        <v>24</v>
      </c>
      <c r="E16" s="10">
        <v>25</v>
      </c>
      <c r="F16" s="11" t="s">
        <v>12</v>
      </c>
      <c r="G16" s="9">
        <v>0</v>
      </c>
      <c r="H16" s="12">
        <v>13</v>
      </c>
      <c r="I16" s="12">
        <f>Report_2026_Q1[[#This Row],[withdrawls villa ]]*Report_2026_Q1[[#This Row],[cost by unit ]]</f>
        <v>682.5</v>
      </c>
      <c r="J16" s="12"/>
      <c r="K16" s="12">
        <f>Report_2026_Q1[[#This Row],[withdrawls IBN ]]*Report_2026_Q1[[#This Row],[cost by unit ]]</f>
        <v>0</v>
      </c>
      <c r="L16" s="53">
        <v>52.5</v>
      </c>
      <c r="M16" s="13">
        <f>Report_2026_Q1[[#This Row],[cost villa ]]+Report_2026_Q1[[#This Row],[IBN cost ]]</f>
        <v>682.5</v>
      </c>
      <c r="N16" s="12">
        <f>Report_2026_Q1[[#This Row],[3 monthes  ORDER ]]*Report_2026_Q1[[#This Row],[cost by unit ]]</f>
        <v>1312.5</v>
      </c>
      <c r="O16" s="5"/>
      <c r="P16" s="5"/>
      <c r="Q16" s="49">
        <f>Report_2026_Q1[[#This Row],[withdrawls villa ]]+Report_2026_Q1[[#This Row],[withdrawls IBN ]]</f>
        <v>13</v>
      </c>
      <c r="S16" s="49">
        <f>Report_2026_Q1[[#This Row],[3 monthes  ORDER ]]-Q16</f>
        <v>12</v>
      </c>
    </row>
    <row r="17" spans="1:19" s="6" customFormat="1" ht="15.6">
      <c r="A17" s="8"/>
      <c r="B17" s="9">
        <v>16</v>
      </c>
      <c r="C17" s="26" t="s">
        <v>33</v>
      </c>
      <c r="D17" s="22" t="s">
        <v>24</v>
      </c>
      <c r="E17" s="10">
        <v>20</v>
      </c>
      <c r="F17" s="11" t="s">
        <v>12</v>
      </c>
      <c r="G17" s="9">
        <v>0</v>
      </c>
      <c r="H17" s="12">
        <v>12</v>
      </c>
      <c r="I17" s="12">
        <f>Report_2026_Q1[[#This Row],[withdrawls villa ]]*Report_2026_Q1[[#This Row],[cost by unit ]]</f>
        <v>604.79999999999995</v>
      </c>
      <c r="J17" s="12"/>
      <c r="K17" s="12">
        <f>Report_2026_Q1[[#This Row],[withdrawls IBN ]]*Report_2026_Q1[[#This Row],[cost by unit ]]</f>
        <v>0</v>
      </c>
      <c r="L17" s="53">
        <v>50.4</v>
      </c>
      <c r="M17" s="13">
        <f>Report_2026_Q1[[#This Row],[cost villa ]]+Report_2026_Q1[[#This Row],[IBN cost ]]</f>
        <v>604.79999999999995</v>
      </c>
      <c r="N17" s="12">
        <f>Report_2026_Q1[[#This Row],[3 monthes  ORDER ]]*Report_2026_Q1[[#This Row],[cost by unit ]]</f>
        <v>1008</v>
      </c>
      <c r="O17" s="5"/>
      <c r="P17" s="5"/>
      <c r="Q17" s="49">
        <f>Report_2026_Q1[[#This Row],[withdrawls villa ]]+Report_2026_Q1[[#This Row],[withdrawls IBN ]]</f>
        <v>12</v>
      </c>
      <c r="S17" s="49">
        <f>Report_2026_Q1[[#This Row],[3 monthes  ORDER ]]-Q17</f>
        <v>8</v>
      </c>
    </row>
    <row r="18" spans="1:19" s="6" customFormat="1" ht="15.6">
      <c r="A18" s="8"/>
      <c r="B18" s="9">
        <v>17</v>
      </c>
      <c r="C18" s="26" t="s">
        <v>34</v>
      </c>
      <c r="D18" s="22" t="s">
        <v>24</v>
      </c>
      <c r="E18" s="10">
        <v>10</v>
      </c>
      <c r="F18" s="11" t="s">
        <v>12</v>
      </c>
      <c r="G18" s="9">
        <v>0</v>
      </c>
      <c r="H18" s="12">
        <v>6</v>
      </c>
      <c r="I18" s="12">
        <f>Report_2026_Q1[[#This Row],[withdrawls villa ]]*Report_2026_Q1[[#This Row],[cost by unit ]]</f>
        <v>288</v>
      </c>
      <c r="J18" s="12"/>
      <c r="K18" s="12">
        <f>Report_2026_Q1[[#This Row],[withdrawls IBN ]]*Report_2026_Q1[[#This Row],[cost by unit ]]</f>
        <v>0</v>
      </c>
      <c r="L18" s="53">
        <v>48</v>
      </c>
      <c r="M18" s="13">
        <f>Report_2026_Q1[[#This Row],[cost villa ]]+Report_2026_Q1[[#This Row],[IBN cost ]]</f>
        <v>288</v>
      </c>
      <c r="N18" s="12">
        <f>Report_2026_Q1[[#This Row],[3 monthes  ORDER ]]*Report_2026_Q1[[#This Row],[cost by unit ]]</f>
        <v>480</v>
      </c>
      <c r="O18" s="5"/>
      <c r="P18" s="5"/>
      <c r="Q18" s="49">
        <f>Report_2026_Q1[[#This Row],[withdrawls villa ]]+Report_2026_Q1[[#This Row],[withdrawls IBN ]]</f>
        <v>6</v>
      </c>
      <c r="S18" s="49">
        <f>Report_2026_Q1[[#This Row],[3 monthes  ORDER ]]-Q18</f>
        <v>4</v>
      </c>
    </row>
    <row r="19" spans="1:19" s="6" customFormat="1" ht="19.5" customHeight="1">
      <c r="A19" s="8"/>
      <c r="B19" s="9">
        <v>18</v>
      </c>
      <c r="C19" s="26" t="s">
        <v>35</v>
      </c>
      <c r="D19" s="22" t="s">
        <v>24</v>
      </c>
      <c r="E19" s="10">
        <v>20</v>
      </c>
      <c r="F19" s="11" t="s">
        <v>12</v>
      </c>
      <c r="G19" s="9">
        <v>0</v>
      </c>
      <c r="H19" s="12">
        <v>12</v>
      </c>
      <c r="I19" s="12">
        <f>Report_2026_Q1[[#This Row],[withdrawls villa ]]*Report_2026_Q1[[#This Row],[cost by unit ]]</f>
        <v>982.80000000000007</v>
      </c>
      <c r="J19" s="12"/>
      <c r="K19" s="12">
        <f>Report_2026_Q1[[#This Row],[withdrawls IBN ]]*Report_2026_Q1[[#This Row],[cost by unit ]]</f>
        <v>0</v>
      </c>
      <c r="L19" s="53">
        <v>81.900000000000006</v>
      </c>
      <c r="M19" s="13">
        <f>Report_2026_Q1[[#This Row],[cost villa ]]+Report_2026_Q1[[#This Row],[IBN cost ]]</f>
        <v>982.80000000000007</v>
      </c>
      <c r="N19" s="12">
        <f>Report_2026_Q1[[#This Row],[3 monthes  ORDER ]]*Report_2026_Q1[[#This Row],[cost by unit ]]</f>
        <v>1638</v>
      </c>
      <c r="O19" s="5"/>
      <c r="P19" s="5"/>
      <c r="Q19" s="49">
        <f>Report_2026_Q1[[#This Row],[withdrawls villa ]]+Report_2026_Q1[[#This Row],[withdrawls IBN ]]</f>
        <v>12</v>
      </c>
      <c r="S19" s="49">
        <f>Report_2026_Q1[[#This Row],[3 monthes  ORDER ]]-Q19</f>
        <v>8</v>
      </c>
    </row>
    <row r="20" spans="1:19" s="6" customFormat="1" ht="15.6">
      <c r="A20" s="8"/>
      <c r="B20" s="9">
        <v>19</v>
      </c>
      <c r="C20" s="26" t="s">
        <v>36</v>
      </c>
      <c r="D20" s="22" t="s">
        <v>24</v>
      </c>
      <c r="E20" s="10">
        <v>20</v>
      </c>
      <c r="F20" s="11" t="s">
        <v>12</v>
      </c>
      <c r="G20" s="9">
        <v>0</v>
      </c>
      <c r="H20" s="12">
        <v>11</v>
      </c>
      <c r="I20" s="12">
        <f>Report_2026_Q1[[#This Row],[withdrawls villa ]]*Report_2026_Q1[[#This Row],[cost by unit ]]</f>
        <v>231</v>
      </c>
      <c r="J20" s="12"/>
      <c r="K20" s="12">
        <f>Report_2026_Q1[[#This Row],[withdrawls IBN ]]*Report_2026_Q1[[#This Row],[cost by unit ]]</f>
        <v>0</v>
      </c>
      <c r="L20" s="53">
        <v>21</v>
      </c>
      <c r="M20" s="13">
        <f>Report_2026_Q1[[#This Row],[cost villa ]]+Report_2026_Q1[[#This Row],[IBN cost ]]</f>
        <v>231</v>
      </c>
      <c r="N20" s="12">
        <f>Report_2026_Q1[[#This Row],[3 monthes  ORDER ]]*Report_2026_Q1[[#This Row],[cost by unit ]]</f>
        <v>420</v>
      </c>
      <c r="O20" s="5"/>
      <c r="P20" s="5"/>
      <c r="Q20" s="49">
        <f>Report_2026_Q1[[#This Row],[withdrawls villa ]]+Report_2026_Q1[[#This Row],[withdrawls IBN ]]</f>
        <v>11</v>
      </c>
      <c r="S20" s="49">
        <f>Report_2026_Q1[[#This Row],[3 monthes  ORDER ]]-Q20</f>
        <v>9</v>
      </c>
    </row>
    <row r="21" spans="1:19" s="6" customFormat="1" ht="15.6">
      <c r="A21" s="8"/>
      <c r="B21" s="9">
        <v>20</v>
      </c>
      <c r="C21" s="26" t="s">
        <v>37</v>
      </c>
      <c r="D21" s="22" t="s">
        <v>24</v>
      </c>
      <c r="E21" s="10">
        <v>20</v>
      </c>
      <c r="F21" s="11" t="s">
        <v>12</v>
      </c>
      <c r="G21" s="9">
        <v>0</v>
      </c>
      <c r="H21" s="12">
        <v>10</v>
      </c>
      <c r="I21" s="12">
        <f>Report_2026_Q1[[#This Row],[withdrawls villa ]]*Report_2026_Q1[[#This Row],[cost by unit ]]</f>
        <v>840</v>
      </c>
      <c r="J21" s="12"/>
      <c r="K21" s="12">
        <f>Report_2026_Q1[[#This Row],[withdrawls IBN ]]*Report_2026_Q1[[#This Row],[cost by unit ]]</f>
        <v>0</v>
      </c>
      <c r="L21" s="53">
        <v>84</v>
      </c>
      <c r="M21" s="13">
        <f>Report_2026_Q1[[#This Row],[cost villa ]]+Report_2026_Q1[[#This Row],[IBN cost ]]</f>
        <v>840</v>
      </c>
      <c r="N21" s="12">
        <f>Report_2026_Q1[[#This Row],[3 monthes  ORDER ]]*Report_2026_Q1[[#This Row],[cost by unit ]]</f>
        <v>1680</v>
      </c>
      <c r="O21" s="5"/>
      <c r="P21" s="5"/>
      <c r="Q21" s="49">
        <f>Report_2026_Q1[[#This Row],[withdrawls villa ]]+Report_2026_Q1[[#This Row],[withdrawls IBN ]]</f>
        <v>10</v>
      </c>
      <c r="S21" s="49">
        <f>Report_2026_Q1[[#This Row],[3 monthes  ORDER ]]-Q21</f>
        <v>10</v>
      </c>
    </row>
    <row r="22" spans="1:19" s="6" customFormat="1" ht="15.6">
      <c r="A22" s="8"/>
      <c r="B22" s="9">
        <v>21</v>
      </c>
      <c r="C22" s="26" t="s">
        <v>38</v>
      </c>
      <c r="D22" s="22" t="s">
        <v>24</v>
      </c>
      <c r="E22" s="10">
        <v>40</v>
      </c>
      <c r="F22" s="11" t="s">
        <v>12</v>
      </c>
      <c r="G22" s="9">
        <v>0</v>
      </c>
      <c r="H22" s="12">
        <v>18</v>
      </c>
      <c r="I22" s="12">
        <f>Report_2026_Q1[[#This Row],[withdrawls villa ]]*Report_2026_Q1[[#This Row],[cost by unit ]]</f>
        <v>945</v>
      </c>
      <c r="J22" s="12"/>
      <c r="K22" s="12">
        <f>Report_2026_Q1[[#This Row],[withdrawls IBN ]]*Report_2026_Q1[[#This Row],[cost by unit ]]</f>
        <v>0</v>
      </c>
      <c r="L22" s="53">
        <v>52.5</v>
      </c>
      <c r="M22" s="13">
        <f>Report_2026_Q1[[#This Row],[cost villa ]]+Report_2026_Q1[[#This Row],[IBN cost ]]</f>
        <v>945</v>
      </c>
      <c r="N22" s="12">
        <f>Report_2026_Q1[[#This Row],[3 monthes  ORDER ]]*Report_2026_Q1[[#This Row],[cost by unit ]]</f>
        <v>2100</v>
      </c>
      <c r="O22" s="5"/>
      <c r="P22" s="5"/>
      <c r="Q22" s="49">
        <f>Report_2026_Q1[[#This Row],[withdrawls villa ]]+Report_2026_Q1[[#This Row],[withdrawls IBN ]]</f>
        <v>18</v>
      </c>
      <c r="S22" s="49">
        <f>Report_2026_Q1[[#This Row],[3 monthes  ORDER ]]-Q22</f>
        <v>22</v>
      </c>
    </row>
    <row r="23" spans="1:19" s="6" customFormat="1" ht="15.6">
      <c r="A23" s="8"/>
      <c r="B23" s="9">
        <v>22</v>
      </c>
      <c r="C23" s="26" t="s">
        <v>39</v>
      </c>
      <c r="D23" s="22" t="s">
        <v>24</v>
      </c>
      <c r="E23" s="10">
        <v>25</v>
      </c>
      <c r="F23" s="11" t="s">
        <v>12</v>
      </c>
      <c r="G23" s="9">
        <v>0</v>
      </c>
      <c r="H23" s="12">
        <v>17</v>
      </c>
      <c r="I23" s="12">
        <f>Report_2026_Q1[[#This Row],[withdrawls villa ]]*Report_2026_Q1[[#This Row],[cost by unit ]]</f>
        <v>856.8</v>
      </c>
      <c r="J23" s="12"/>
      <c r="K23" s="12">
        <f>Report_2026_Q1[[#This Row],[withdrawls IBN ]]*Report_2026_Q1[[#This Row],[cost by unit ]]</f>
        <v>0</v>
      </c>
      <c r="L23" s="53">
        <v>50.4</v>
      </c>
      <c r="M23" s="13">
        <f>Report_2026_Q1[[#This Row],[cost villa ]]+Report_2026_Q1[[#This Row],[IBN cost ]]</f>
        <v>856.8</v>
      </c>
      <c r="N23" s="12">
        <f>Report_2026_Q1[[#This Row],[3 monthes  ORDER ]]*Report_2026_Q1[[#This Row],[cost by unit ]]</f>
        <v>1260</v>
      </c>
      <c r="O23" s="5"/>
      <c r="P23" s="5"/>
      <c r="Q23" s="49">
        <f>Report_2026_Q1[[#This Row],[withdrawls villa ]]+Report_2026_Q1[[#This Row],[withdrawls IBN ]]</f>
        <v>17</v>
      </c>
      <c r="S23" s="49">
        <f>Report_2026_Q1[[#This Row],[3 monthes  ORDER ]]-Q23</f>
        <v>8</v>
      </c>
    </row>
    <row r="24" spans="1:19" s="6" customFormat="1" ht="15.6">
      <c r="A24" s="8"/>
      <c r="B24" s="9">
        <v>23</v>
      </c>
      <c r="C24" s="26" t="s">
        <v>40</v>
      </c>
      <c r="D24" s="22" t="s">
        <v>24</v>
      </c>
      <c r="E24" s="10">
        <v>10</v>
      </c>
      <c r="F24" s="11" t="s">
        <v>12</v>
      </c>
      <c r="G24" s="9">
        <v>0</v>
      </c>
      <c r="H24" s="12">
        <v>8</v>
      </c>
      <c r="I24" s="12">
        <f>Report_2026_Q1[[#This Row],[withdrawls villa ]]*Report_2026_Q1[[#This Row],[cost by unit ]]</f>
        <v>420</v>
      </c>
      <c r="J24" s="12"/>
      <c r="K24" s="12">
        <f>Report_2026_Q1[[#This Row],[withdrawls IBN ]]*Report_2026_Q1[[#This Row],[cost by unit ]]</f>
        <v>0</v>
      </c>
      <c r="L24" s="53">
        <v>52.5</v>
      </c>
      <c r="M24" s="13">
        <f>Report_2026_Q1[[#This Row],[cost villa ]]+Report_2026_Q1[[#This Row],[IBN cost ]]</f>
        <v>420</v>
      </c>
      <c r="N24" s="12">
        <f>Report_2026_Q1[[#This Row],[3 monthes  ORDER ]]*Report_2026_Q1[[#This Row],[cost by unit ]]</f>
        <v>525</v>
      </c>
      <c r="O24" s="5"/>
      <c r="P24" s="5"/>
      <c r="Q24" s="49">
        <f>Report_2026_Q1[[#This Row],[withdrawls villa ]]+Report_2026_Q1[[#This Row],[withdrawls IBN ]]</f>
        <v>8</v>
      </c>
      <c r="S24" s="49">
        <f>Report_2026_Q1[[#This Row],[3 monthes  ORDER ]]-Q24</f>
        <v>2</v>
      </c>
    </row>
    <row r="25" spans="1:19" s="6" customFormat="1" ht="15.6">
      <c r="A25" s="8"/>
      <c r="B25" s="9">
        <v>24</v>
      </c>
      <c r="C25" s="26" t="s">
        <v>41</v>
      </c>
      <c r="D25" s="22" t="s">
        <v>24</v>
      </c>
      <c r="E25" s="10">
        <v>10</v>
      </c>
      <c r="F25" s="11" t="s">
        <v>12</v>
      </c>
      <c r="G25" s="9">
        <v>0</v>
      </c>
      <c r="H25" s="12">
        <v>7</v>
      </c>
      <c r="I25" s="12">
        <f>Report_2026_Q1[[#This Row],[withdrawls villa ]]*Report_2026_Q1[[#This Row],[cost by unit ]]</f>
        <v>367.5</v>
      </c>
      <c r="J25" s="12"/>
      <c r="K25" s="12">
        <f>Report_2026_Q1[[#This Row],[withdrawls IBN ]]*Report_2026_Q1[[#This Row],[cost by unit ]]</f>
        <v>0</v>
      </c>
      <c r="L25" s="53">
        <v>52.5</v>
      </c>
      <c r="M25" s="13">
        <f>Report_2026_Q1[[#This Row],[cost villa ]]+Report_2026_Q1[[#This Row],[IBN cost ]]</f>
        <v>367.5</v>
      </c>
      <c r="N25" s="12">
        <f>Report_2026_Q1[[#This Row],[3 monthes  ORDER ]]*Report_2026_Q1[[#This Row],[cost by unit ]]</f>
        <v>525</v>
      </c>
      <c r="O25" s="5"/>
      <c r="P25" s="5"/>
      <c r="Q25" s="49">
        <f>Report_2026_Q1[[#This Row],[withdrawls villa ]]+Report_2026_Q1[[#This Row],[withdrawls IBN ]]</f>
        <v>7</v>
      </c>
      <c r="S25" s="49">
        <f>Report_2026_Q1[[#This Row],[3 monthes  ORDER ]]-Q25</f>
        <v>3</v>
      </c>
    </row>
    <row r="26" spans="1:19" s="6" customFormat="1" ht="15.6">
      <c r="A26" s="8"/>
      <c r="B26" s="9">
        <v>25</v>
      </c>
      <c r="C26" s="26" t="s">
        <v>42</v>
      </c>
      <c r="D26" s="22" t="s">
        <v>28</v>
      </c>
      <c r="E26" s="10">
        <v>2</v>
      </c>
      <c r="F26" s="11" t="s">
        <v>12</v>
      </c>
      <c r="G26" s="9">
        <v>0</v>
      </c>
      <c r="H26" s="12">
        <v>1.5</v>
      </c>
      <c r="I26" s="12">
        <f>Report_2026_Q1[[#This Row],[withdrawls villa ]]*Report_2026_Q1[[#This Row],[cost by unit ]]</f>
        <v>107.10000000000001</v>
      </c>
      <c r="J26" s="12"/>
      <c r="K26" s="12">
        <f>Report_2026_Q1[[#This Row],[withdrawls IBN ]]*Report_2026_Q1[[#This Row],[cost by unit ]]</f>
        <v>0</v>
      </c>
      <c r="L26" s="53">
        <v>71.400000000000006</v>
      </c>
      <c r="M26" s="13">
        <f>Report_2026_Q1[[#This Row],[cost villa ]]+Report_2026_Q1[[#This Row],[IBN cost ]]</f>
        <v>107.10000000000001</v>
      </c>
      <c r="N26" s="12">
        <f>Report_2026_Q1[[#This Row],[3 monthes  ORDER ]]*Report_2026_Q1[[#This Row],[cost by unit ]]</f>
        <v>142.80000000000001</v>
      </c>
      <c r="O26" s="5"/>
      <c r="P26" s="5"/>
      <c r="Q26" s="49">
        <f>Report_2026_Q1[[#This Row],[withdrawls villa ]]+Report_2026_Q1[[#This Row],[withdrawls IBN ]]</f>
        <v>1.5</v>
      </c>
      <c r="S26" s="49">
        <f>Report_2026_Q1[[#This Row],[3 monthes  ORDER ]]-Q26</f>
        <v>0.5</v>
      </c>
    </row>
    <row r="27" spans="1:19" s="6" customFormat="1" ht="15.6">
      <c r="A27" s="8"/>
      <c r="B27" s="9">
        <v>26</v>
      </c>
      <c r="C27" s="26" t="s">
        <v>43</v>
      </c>
      <c r="D27" s="22" t="s">
        <v>24</v>
      </c>
      <c r="E27" s="10">
        <v>10</v>
      </c>
      <c r="F27" s="11" t="s">
        <v>12</v>
      </c>
      <c r="G27" s="9">
        <v>0</v>
      </c>
      <c r="H27" s="12">
        <v>8</v>
      </c>
      <c r="I27" s="12">
        <f>Report_2026_Q1[[#This Row],[withdrawls villa ]]*Report_2026_Q1[[#This Row],[cost by unit ]]</f>
        <v>483</v>
      </c>
      <c r="J27" s="12"/>
      <c r="K27" s="12">
        <f>Report_2026_Q1[[#This Row],[withdrawls IBN ]]*Report_2026_Q1[[#This Row],[cost by unit ]]</f>
        <v>0</v>
      </c>
      <c r="L27" s="53">
        <v>60.375</v>
      </c>
      <c r="M27" s="13">
        <f>Report_2026_Q1[[#This Row],[cost villa ]]+Report_2026_Q1[[#This Row],[IBN cost ]]</f>
        <v>483</v>
      </c>
      <c r="N27" s="12">
        <f>Report_2026_Q1[[#This Row],[3 monthes  ORDER ]]*Report_2026_Q1[[#This Row],[cost by unit ]]</f>
        <v>603.75</v>
      </c>
      <c r="O27" s="5"/>
      <c r="P27" s="5"/>
      <c r="Q27" s="49">
        <f>Report_2026_Q1[[#This Row],[withdrawls villa ]]+Report_2026_Q1[[#This Row],[withdrawls IBN ]]</f>
        <v>8</v>
      </c>
      <c r="S27" s="49">
        <f>Report_2026_Q1[[#This Row],[3 monthes  ORDER ]]-Q27</f>
        <v>2</v>
      </c>
    </row>
    <row r="28" spans="1:19" s="6" customFormat="1" ht="15.6">
      <c r="A28" s="8"/>
      <c r="B28" s="9">
        <v>27</v>
      </c>
      <c r="C28" s="26" t="s">
        <v>44</v>
      </c>
      <c r="D28" s="22" t="s">
        <v>24</v>
      </c>
      <c r="E28" s="10">
        <v>5</v>
      </c>
      <c r="F28" s="11" t="s">
        <v>12</v>
      </c>
      <c r="G28" s="9">
        <v>0</v>
      </c>
      <c r="H28" s="12">
        <v>0</v>
      </c>
      <c r="I28" s="12">
        <f>Report_2026_Q1[[#This Row],[withdrawls villa ]]*Report_2026_Q1[[#This Row],[cost by unit ]]</f>
        <v>0</v>
      </c>
      <c r="J28" s="12"/>
      <c r="K28" s="12">
        <f>Report_2026_Q1[[#This Row],[withdrawls IBN ]]*Report_2026_Q1[[#This Row],[cost by unit ]]</f>
        <v>0</v>
      </c>
      <c r="L28" s="53">
        <v>32.81</v>
      </c>
      <c r="M28" s="13">
        <f>Report_2026_Q1[[#This Row],[cost villa ]]+Report_2026_Q1[[#This Row],[IBN cost ]]</f>
        <v>0</v>
      </c>
      <c r="N28" s="12">
        <f>Report_2026_Q1[[#This Row],[3 monthes  ORDER ]]*Report_2026_Q1[[#This Row],[cost by unit ]]</f>
        <v>164.05</v>
      </c>
      <c r="O28" s="5"/>
      <c r="P28" s="5"/>
      <c r="Q28" s="49">
        <f>Report_2026_Q1[[#This Row],[withdrawls villa ]]+Report_2026_Q1[[#This Row],[withdrawls IBN ]]</f>
        <v>0</v>
      </c>
      <c r="S28" s="49">
        <f>Report_2026_Q1[[#This Row],[3 monthes  ORDER ]]-Q28</f>
        <v>5</v>
      </c>
    </row>
    <row r="29" spans="1:19" s="6" customFormat="1" ht="15.6">
      <c r="A29" s="8"/>
      <c r="B29" s="9">
        <v>28</v>
      </c>
      <c r="C29" s="26" t="s">
        <v>45</v>
      </c>
      <c r="D29" s="22" t="s">
        <v>28</v>
      </c>
      <c r="E29" s="10">
        <v>250</v>
      </c>
      <c r="F29" s="11" t="s">
        <v>12</v>
      </c>
      <c r="G29" s="9">
        <v>0</v>
      </c>
      <c r="H29" s="12">
        <v>241</v>
      </c>
      <c r="I29" s="12">
        <f>Report_2026_Q1[[#This Row],[withdrawls villa ]]*Report_2026_Q1[[#This Row],[cost by unit ]]</f>
        <v>379.57499999999999</v>
      </c>
      <c r="J29" s="12"/>
      <c r="K29" s="12">
        <f>Report_2026_Q1[[#This Row],[withdrawls IBN ]]*Report_2026_Q1[[#This Row],[cost by unit ]]</f>
        <v>0</v>
      </c>
      <c r="L29" s="53">
        <v>1.575</v>
      </c>
      <c r="M29" s="13">
        <f>Report_2026_Q1[[#This Row],[cost villa ]]+Report_2026_Q1[[#This Row],[IBN cost ]]</f>
        <v>379.57499999999999</v>
      </c>
      <c r="N29" s="12">
        <f>Report_2026_Q1[[#This Row],[3 monthes  ORDER ]]*Report_2026_Q1[[#This Row],[cost by unit ]]</f>
        <v>393.75</v>
      </c>
      <c r="O29" s="5"/>
      <c r="P29" s="5"/>
      <c r="Q29" s="49">
        <f>Report_2026_Q1[[#This Row],[withdrawls villa ]]+Report_2026_Q1[[#This Row],[withdrawls IBN ]]</f>
        <v>241</v>
      </c>
      <c r="S29" s="49">
        <f>Report_2026_Q1[[#This Row],[3 monthes  ORDER ]]-Q29</f>
        <v>9</v>
      </c>
    </row>
    <row r="30" spans="1:19" s="6" customFormat="1" ht="17.75">
      <c r="A30" s="8"/>
      <c r="B30" s="9">
        <v>29</v>
      </c>
      <c r="C30" s="27" t="s">
        <v>46</v>
      </c>
      <c r="D30" s="22" t="s">
        <v>14</v>
      </c>
      <c r="E30" s="10">
        <v>0</v>
      </c>
      <c r="F30" s="11" t="s">
        <v>12</v>
      </c>
      <c r="G30" s="9">
        <v>0</v>
      </c>
      <c r="H30" s="12"/>
      <c r="I30" s="12">
        <f>Report_2026_Q1[[#This Row],[withdrawls villa ]]*Report_2026_Q1[[#This Row],[cost by unit ]]</f>
        <v>0</v>
      </c>
      <c r="J30" s="12"/>
      <c r="K30" s="12">
        <f>Report_2026_Q1[[#This Row],[withdrawls IBN ]]*Report_2026_Q1[[#This Row],[cost by unit ]]</f>
        <v>0</v>
      </c>
      <c r="L30" s="54">
        <v>45</v>
      </c>
      <c r="M30" s="13">
        <f>Report_2026_Q1[[#This Row],[cost villa ]]+Report_2026_Q1[[#This Row],[IBN cost ]]</f>
        <v>0</v>
      </c>
      <c r="N30" s="12">
        <f>Report_2026_Q1[[#This Row],[3 monthes  ORDER ]]*Report_2026_Q1[[#This Row],[cost by unit ]]</f>
        <v>0</v>
      </c>
      <c r="O30" s="5"/>
      <c r="P30" s="5"/>
      <c r="Q30" s="49">
        <f>Report_2026_Q1[[#This Row],[withdrawls villa ]]+Report_2026_Q1[[#This Row],[withdrawls IBN ]]</f>
        <v>0</v>
      </c>
      <c r="S30" s="49">
        <f>Report_2026_Q1[[#This Row],[3 monthes  ORDER ]]-Q30</f>
        <v>0</v>
      </c>
    </row>
    <row r="31" spans="1:19" s="6" customFormat="1" ht="17.75">
      <c r="A31" s="8"/>
      <c r="B31" s="9">
        <v>30</v>
      </c>
      <c r="C31" s="27" t="s">
        <v>47</v>
      </c>
      <c r="D31" s="22" t="s">
        <v>14</v>
      </c>
      <c r="E31" s="10">
        <v>0</v>
      </c>
      <c r="F31" s="11" t="s">
        <v>12</v>
      </c>
      <c r="G31" s="9">
        <v>0</v>
      </c>
      <c r="H31" s="12"/>
      <c r="I31" s="12">
        <f>Report_2026_Q1[[#This Row],[withdrawls villa ]]*Report_2026_Q1[[#This Row],[cost by unit ]]</f>
        <v>0</v>
      </c>
      <c r="J31" s="12"/>
      <c r="K31" s="12">
        <f>Report_2026_Q1[[#This Row],[withdrawls IBN ]]*Report_2026_Q1[[#This Row],[cost by unit ]]</f>
        <v>0</v>
      </c>
      <c r="L31" s="54">
        <v>49</v>
      </c>
      <c r="M31" s="13">
        <f>Report_2026_Q1[[#This Row],[cost villa ]]+Report_2026_Q1[[#This Row],[IBN cost ]]</f>
        <v>0</v>
      </c>
      <c r="N31" s="12">
        <f>Report_2026_Q1[[#This Row],[3 monthes  ORDER ]]*Report_2026_Q1[[#This Row],[cost by unit ]]</f>
        <v>0</v>
      </c>
      <c r="O31" s="5"/>
      <c r="P31" s="5"/>
      <c r="Q31" s="49">
        <f>Report_2026_Q1[[#This Row],[withdrawls villa ]]+Report_2026_Q1[[#This Row],[withdrawls IBN ]]</f>
        <v>0</v>
      </c>
      <c r="S31" s="49">
        <f>Report_2026_Q1[[#This Row],[3 monthes  ORDER ]]-Q31</f>
        <v>0</v>
      </c>
    </row>
    <row r="32" spans="1:19" s="6" customFormat="1" ht="17.75">
      <c r="A32" s="8"/>
      <c r="B32" s="9">
        <v>31</v>
      </c>
      <c r="C32" s="27" t="s">
        <v>48</v>
      </c>
      <c r="D32" s="22" t="s">
        <v>14</v>
      </c>
      <c r="E32" s="10">
        <v>0</v>
      </c>
      <c r="F32" s="11" t="s">
        <v>12</v>
      </c>
      <c r="G32" s="9">
        <v>0</v>
      </c>
      <c r="H32" s="12"/>
      <c r="I32" s="12">
        <f>Report_2026_Q1[[#This Row],[withdrawls villa ]]*Report_2026_Q1[[#This Row],[cost by unit ]]</f>
        <v>0</v>
      </c>
      <c r="J32" s="12"/>
      <c r="K32" s="12">
        <f>Report_2026_Q1[[#This Row],[withdrawls IBN ]]*Report_2026_Q1[[#This Row],[cost by unit ]]</f>
        <v>0</v>
      </c>
      <c r="L32" s="54">
        <v>14</v>
      </c>
      <c r="M32" s="13">
        <f>Report_2026_Q1[[#This Row],[cost villa ]]+Report_2026_Q1[[#This Row],[IBN cost ]]</f>
        <v>0</v>
      </c>
      <c r="N32" s="12">
        <f>Report_2026_Q1[[#This Row],[3 monthes  ORDER ]]*Report_2026_Q1[[#This Row],[cost by unit ]]</f>
        <v>0</v>
      </c>
      <c r="O32" s="5"/>
      <c r="P32" s="5"/>
      <c r="Q32" s="49">
        <f>Report_2026_Q1[[#This Row],[withdrawls villa ]]+Report_2026_Q1[[#This Row],[withdrawls IBN ]]</f>
        <v>0</v>
      </c>
      <c r="S32" s="49">
        <f>Report_2026_Q1[[#This Row],[3 monthes  ORDER ]]-Q32</f>
        <v>0</v>
      </c>
    </row>
    <row r="33" spans="1:19" s="6" customFormat="1" ht="17.75">
      <c r="A33" s="8"/>
      <c r="B33" s="9">
        <v>32</v>
      </c>
      <c r="C33" s="27" t="s">
        <v>49</v>
      </c>
      <c r="D33" s="22" t="s">
        <v>14</v>
      </c>
      <c r="E33" s="10">
        <v>10</v>
      </c>
      <c r="F33" s="11" t="s">
        <v>12</v>
      </c>
      <c r="G33" s="9">
        <v>0</v>
      </c>
      <c r="H33" s="12">
        <v>7</v>
      </c>
      <c r="I33" s="12">
        <f>Report_2026_Q1[[#This Row],[withdrawls villa ]]*Report_2026_Q1[[#This Row],[cost by unit ]]</f>
        <v>126</v>
      </c>
      <c r="J33" s="12">
        <v>3</v>
      </c>
      <c r="K33" s="12">
        <f>Report_2026_Q1[[#This Row],[withdrawls IBN ]]*Report_2026_Q1[[#This Row],[cost by unit ]]</f>
        <v>54</v>
      </c>
      <c r="L33" s="54">
        <v>18</v>
      </c>
      <c r="M33" s="13">
        <f>Report_2026_Q1[[#This Row],[cost villa ]]+Report_2026_Q1[[#This Row],[IBN cost ]]</f>
        <v>180</v>
      </c>
      <c r="N33" s="12">
        <f>Report_2026_Q1[[#This Row],[3 monthes  ORDER ]]*Report_2026_Q1[[#This Row],[cost by unit ]]</f>
        <v>180</v>
      </c>
      <c r="O33" s="5"/>
      <c r="P33" s="5"/>
      <c r="Q33" s="49">
        <f>Report_2026_Q1[[#This Row],[withdrawls villa ]]+Report_2026_Q1[[#This Row],[withdrawls IBN ]]</f>
        <v>10</v>
      </c>
      <c r="S33" s="49">
        <f>Report_2026_Q1[[#This Row],[3 monthes  ORDER ]]-Q33</f>
        <v>0</v>
      </c>
    </row>
    <row r="34" spans="1:19" s="6" customFormat="1" ht="17.75">
      <c r="A34" s="8"/>
      <c r="B34" s="9">
        <v>33</v>
      </c>
      <c r="C34" s="27" t="s">
        <v>50</v>
      </c>
      <c r="D34" s="22" t="s">
        <v>14</v>
      </c>
      <c r="E34" s="10">
        <v>0</v>
      </c>
      <c r="F34" s="11" t="s">
        <v>12</v>
      </c>
      <c r="G34" s="9">
        <v>0</v>
      </c>
      <c r="H34" s="12"/>
      <c r="I34" s="12">
        <f>Report_2026_Q1[[#This Row],[withdrawls villa ]]*Report_2026_Q1[[#This Row],[cost by unit ]]</f>
        <v>0</v>
      </c>
      <c r="J34" s="12"/>
      <c r="K34" s="12">
        <f>Report_2026_Q1[[#This Row],[withdrawls IBN ]]*Report_2026_Q1[[#This Row],[cost by unit ]]</f>
        <v>0</v>
      </c>
      <c r="L34" s="54">
        <v>39</v>
      </c>
      <c r="M34" s="13">
        <f>Report_2026_Q1[[#This Row],[cost villa ]]+Report_2026_Q1[[#This Row],[IBN cost ]]</f>
        <v>0</v>
      </c>
      <c r="N34" s="12">
        <f>Report_2026_Q1[[#This Row],[3 monthes  ORDER ]]*Report_2026_Q1[[#This Row],[cost by unit ]]</f>
        <v>0</v>
      </c>
      <c r="O34" s="5"/>
      <c r="P34" s="5"/>
      <c r="Q34" s="49">
        <f>Report_2026_Q1[[#This Row],[withdrawls villa ]]+Report_2026_Q1[[#This Row],[withdrawls IBN ]]</f>
        <v>0</v>
      </c>
      <c r="S34" s="49">
        <f>Report_2026_Q1[[#This Row],[3 monthes  ORDER ]]-Q34</f>
        <v>0</v>
      </c>
    </row>
    <row r="35" spans="1:19" s="6" customFormat="1" ht="17.75">
      <c r="A35" s="8"/>
      <c r="B35" s="9">
        <v>34</v>
      </c>
      <c r="C35" s="27" t="s">
        <v>51</v>
      </c>
      <c r="D35" s="22" t="s">
        <v>52</v>
      </c>
      <c r="E35" s="10">
        <v>20</v>
      </c>
      <c r="F35" s="11" t="s">
        <v>12</v>
      </c>
      <c r="G35" s="9">
        <v>0</v>
      </c>
      <c r="H35" s="12">
        <v>4</v>
      </c>
      <c r="I35" s="12">
        <f>Report_2026_Q1[[#This Row],[withdrawls villa ]]*Report_2026_Q1[[#This Row],[cost by unit ]]</f>
        <v>56</v>
      </c>
      <c r="J35" s="12">
        <v>5</v>
      </c>
      <c r="K35" s="12">
        <f>Report_2026_Q1[[#This Row],[withdrawls IBN ]]*Report_2026_Q1[[#This Row],[cost by unit ]]</f>
        <v>70</v>
      </c>
      <c r="L35" s="54">
        <v>14</v>
      </c>
      <c r="M35" s="13">
        <f>Report_2026_Q1[[#This Row],[cost villa ]]+Report_2026_Q1[[#This Row],[IBN cost ]]</f>
        <v>126</v>
      </c>
      <c r="N35" s="12">
        <f>Report_2026_Q1[[#This Row],[3 monthes  ORDER ]]*Report_2026_Q1[[#This Row],[cost by unit ]]</f>
        <v>280</v>
      </c>
      <c r="O35" s="5"/>
      <c r="P35" s="5"/>
      <c r="Q35" s="49">
        <f>Report_2026_Q1[[#This Row],[withdrawls villa ]]+Report_2026_Q1[[#This Row],[withdrawls IBN ]]</f>
        <v>9</v>
      </c>
      <c r="S35" s="49">
        <f>Report_2026_Q1[[#This Row],[3 monthes  ORDER ]]-Q35</f>
        <v>11</v>
      </c>
    </row>
    <row r="36" spans="1:19" s="6" customFormat="1" ht="17.75">
      <c r="A36" s="8"/>
      <c r="B36" s="9">
        <v>35</v>
      </c>
      <c r="C36" s="27" t="s">
        <v>53</v>
      </c>
      <c r="D36" s="22" t="s">
        <v>28</v>
      </c>
      <c r="E36" s="10">
        <v>1</v>
      </c>
      <c r="F36" s="11" t="s">
        <v>12</v>
      </c>
      <c r="G36" s="9">
        <v>0</v>
      </c>
      <c r="H36" s="12">
        <v>0.1</v>
      </c>
      <c r="I36" s="12">
        <f>Report_2026_Q1[[#This Row],[withdrawls villa ]]*Report_2026_Q1[[#This Row],[cost by unit ]]</f>
        <v>0.1</v>
      </c>
      <c r="J36" s="12"/>
      <c r="K36" s="12">
        <f>Report_2026_Q1[[#This Row],[withdrawls IBN ]]*Report_2026_Q1[[#This Row],[cost by unit ]]</f>
        <v>0</v>
      </c>
      <c r="L36" s="54">
        <v>1</v>
      </c>
      <c r="M36" s="13">
        <f>Report_2026_Q1[[#This Row],[cost villa ]]+Report_2026_Q1[[#This Row],[IBN cost ]]</f>
        <v>0.1</v>
      </c>
      <c r="N36" s="12">
        <f>Report_2026_Q1[[#This Row],[3 monthes  ORDER ]]*Report_2026_Q1[[#This Row],[cost by unit ]]</f>
        <v>1</v>
      </c>
      <c r="O36" s="5"/>
      <c r="P36" s="5"/>
      <c r="Q36" s="49">
        <f>Report_2026_Q1[[#This Row],[withdrawls villa ]]+Report_2026_Q1[[#This Row],[withdrawls IBN ]]</f>
        <v>0.1</v>
      </c>
      <c r="S36" s="49">
        <f>Report_2026_Q1[[#This Row],[3 monthes  ORDER ]]-Q36</f>
        <v>0.9</v>
      </c>
    </row>
    <row r="37" spans="1:19" s="6" customFormat="1" ht="15.6">
      <c r="A37" s="8"/>
      <c r="B37" s="9">
        <v>36</v>
      </c>
      <c r="C37" s="29" t="s">
        <v>54</v>
      </c>
      <c r="D37" s="22" t="s">
        <v>11</v>
      </c>
      <c r="E37" s="10">
        <v>0</v>
      </c>
      <c r="F37" s="11" t="s">
        <v>12</v>
      </c>
      <c r="G37" s="9">
        <v>0</v>
      </c>
      <c r="H37" s="12"/>
      <c r="I37" s="12">
        <f>Report_2026_Q1[[#This Row],[withdrawls villa ]]*Report_2026_Q1[[#This Row],[cost by unit ]]</f>
        <v>0</v>
      </c>
      <c r="J37" s="12"/>
      <c r="K37" s="12">
        <f>Report_2026_Q1[[#This Row],[withdrawls IBN ]]*Report_2026_Q1[[#This Row],[cost by unit ]]</f>
        <v>0</v>
      </c>
      <c r="L37" s="54">
        <v>6.95</v>
      </c>
      <c r="M37" s="13">
        <f>Report_2026_Q1[[#This Row],[cost villa ]]+Report_2026_Q1[[#This Row],[IBN cost ]]</f>
        <v>0</v>
      </c>
      <c r="N37" s="12">
        <f>Report_2026_Q1[[#This Row],[3 monthes  ORDER ]]*Report_2026_Q1[[#This Row],[cost by unit ]]</f>
        <v>0</v>
      </c>
      <c r="O37" s="5"/>
      <c r="P37" s="5"/>
      <c r="Q37" s="49">
        <f>Report_2026_Q1[[#This Row],[withdrawls villa ]]+Report_2026_Q1[[#This Row],[withdrawls IBN ]]</f>
        <v>0</v>
      </c>
      <c r="S37" s="49">
        <f>Report_2026_Q1[[#This Row],[3 monthes  ORDER ]]-Q37</f>
        <v>0</v>
      </c>
    </row>
    <row r="38" spans="1:19" s="6" customFormat="1" ht="15.6">
      <c r="A38" s="8"/>
      <c r="B38" s="9">
        <v>37</v>
      </c>
      <c r="C38" s="30" t="s">
        <v>55</v>
      </c>
      <c r="D38" s="22" t="s">
        <v>14</v>
      </c>
      <c r="E38" s="10">
        <v>0</v>
      </c>
      <c r="F38" s="11" t="s">
        <v>12</v>
      </c>
      <c r="G38" s="9">
        <v>0</v>
      </c>
      <c r="H38" s="12"/>
      <c r="I38" s="12">
        <f>Report_2026_Q1[[#This Row],[withdrawls villa ]]*Report_2026_Q1[[#This Row],[cost by unit ]]</f>
        <v>0</v>
      </c>
      <c r="J38" s="12"/>
      <c r="K38" s="12">
        <f>Report_2026_Q1[[#This Row],[withdrawls IBN ]]*Report_2026_Q1[[#This Row],[cost by unit ]]</f>
        <v>0</v>
      </c>
      <c r="L38" s="54">
        <v>6.75</v>
      </c>
      <c r="M38" s="13">
        <f>Report_2026_Q1[[#This Row],[cost villa ]]+Report_2026_Q1[[#This Row],[IBN cost ]]</f>
        <v>0</v>
      </c>
      <c r="N38" s="12">
        <f>Report_2026_Q1[[#This Row],[3 monthes  ORDER ]]*Report_2026_Q1[[#This Row],[cost by unit ]]</f>
        <v>0</v>
      </c>
      <c r="O38" s="5"/>
      <c r="P38" s="5"/>
      <c r="Q38" s="49">
        <f>Report_2026_Q1[[#This Row],[withdrawls villa ]]+Report_2026_Q1[[#This Row],[withdrawls IBN ]]</f>
        <v>0</v>
      </c>
      <c r="S38" s="49">
        <f>Report_2026_Q1[[#This Row],[3 monthes  ORDER ]]-Q38</f>
        <v>0</v>
      </c>
    </row>
    <row r="39" spans="1:19" s="6" customFormat="1" ht="15.6">
      <c r="A39" s="8"/>
      <c r="B39" s="9">
        <v>38</v>
      </c>
      <c r="C39" s="30" t="s">
        <v>56</v>
      </c>
      <c r="D39" s="22" t="s">
        <v>14</v>
      </c>
      <c r="E39" s="10">
        <v>0</v>
      </c>
      <c r="F39" s="11" t="s">
        <v>12</v>
      </c>
      <c r="G39" s="9">
        <v>0</v>
      </c>
      <c r="H39" s="12"/>
      <c r="I39" s="12">
        <f>Report_2026_Q1[[#This Row],[withdrawls villa ]]*Report_2026_Q1[[#This Row],[cost by unit ]]</f>
        <v>0</v>
      </c>
      <c r="J39" s="12"/>
      <c r="K39" s="12">
        <f>Report_2026_Q1[[#This Row],[withdrawls IBN ]]*Report_2026_Q1[[#This Row],[cost by unit ]]</f>
        <v>0</v>
      </c>
      <c r="L39" s="54">
        <v>1.5</v>
      </c>
      <c r="M39" s="13">
        <f>Report_2026_Q1[[#This Row],[cost villa ]]+Report_2026_Q1[[#This Row],[IBN cost ]]</f>
        <v>0</v>
      </c>
      <c r="N39" s="12">
        <f>Report_2026_Q1[[#This Row],[3 monthes  ORDER ]]*Report_2026_Q1[[#This Row],[cost by unit ]]</f>
        <v>0</v>
      </c>
      <c r="O39" s="5"/>
      <c r="P39" s="5"/>
      <c r="Q39" s="49">
        <f>Report_2026_Q1[[#This Row],[withdrawls villa ]]+Report_2026_Q1[[#This Row],[withdrawls IBN ]]</f>
        <v>0</v>
      </c>
      <c r="S39" s="49">
        <f>Report_2026_Q1[[#This Row],[3 monthes  ORDER ]]-Q39</f>
        <v>0</v>
      </c>
    </row>
    <row r="40" spans="1:19" s="15" customFormat="1" ht="15.6">
      <c r="A40" s="8"/>
      <c r="B40" s="9">
        <v>39</v>
      </c>
      <c r="C40" s="31" t="s">
        <v>57</v>
      </c>
      <c r="D40" s="32" t="s">
        <v>11</v>
      </c>
      <c r="E40" s="10">
        <v>40</v>
      </c>
      <c r="F40" s="11" t="s">
        <v>12</v>
      </c>
      <c r="G40" s="9">
        <v>0</v>
      </c>
      <c r="H40" s="12">
        <v>30</v>
      </c>
      <c r="I40" s="12">
        <f>Report_2026_Q1[[#This Row],[withdrawls villa ]]*Report_2026_Q1[[#This Row],[cost by unit ]]</f>
        <v>547.5</v>
      </c>
      <c r="J40" s="12"/>
      <c r="K40" s="12">
        <f>Report_2026_Q1[[#This Row],[withdrawls IBN ]]*Report_2026_Q1[[#This Row],[cost by unit ]]</f>
        <v>0</v>
      </c>
      <c r="L40" s="55">
        <v>18.25</v>
      </c>
      <c r="M40" s="13">
        <f>Report_2026_Q1[[#This Row],[cost villa ]]+Report_2026_Q1[[#This Row],[IBN cost ]]</f>
        <v>547.5</v>
      </c>
      <c r="N40" s="12">
        <f>Report_2026_Q1[[#This Row],[3 monthes  ORDER ]]*Report_2026_Q1[[#This Row],[cost by unit ]]</f>
        <v>730</v>
      </c>
      <c r="O40" s="14"/>
      <c r="P40" s="14"/>
      <c r="Q40" s="49">
        <f>Report_2026_Q1[[#This Row],[withdrawls villa ]]+Report_2026_Q1[[#This Row],[withdrawls IBN ]]</f>
        <v>30</v>
      </c>
      <c r="S40" s="49">
        <f>Report_2026_Q1[[#This Row],[3 monthes  ORDER ]]-Q40</f>
        <v>10</v>
      </c>
    </row>
    <row r="41" spans="1:19" s="15" customFormat="1" ht="15.6">
      <c r="A41" s="8"/>
      <c r="B41" s="9">
        <v>40</v>
      </c>
      <c r="C41" s="31" t="s">
        <v>58</v>
      </c>
      <c r="D41" s="22" t="s">
        <v>16</v>
      </c>
      <c r="E41" s="10">
        <v>30</v>
      </c>
      <c r="F41" s="11" t="s">
        <v>12</v>
      </c>
      <c r="G41" s="9">
        <v>0</v>
      </c>
      <c r="H41" s="12">
        <v>13</v>
      </c>
      <c r="I41" s="12">
        <f>Report_2026_Q1[[#This Row],[withdrawls villa ]]*Report_2026_Q1[[#This Row],[cost by unit ]]</f>
        <v>260</v>
      </c>
      <c r="J41" s="12">
        <v>14</v>
      </c>
      <c r="K41" s="12">
        <f>Report_2026_Q1[[#This Row],[withdrawls IBN ]]*Report_2026_Q1[[#This Row],[cost by unit ]]</f>
        <v>280</v>
      </c>
      <c r="L41" s="55">
        <v>20</v>
      </c>
      <c r="M41" s="13">
        <f>Report_2026_Q1[[#This Row],[cost villa ]]+Report_2026_Q1[[#This Row],[IBN cost ]]</f>
        <v>540</v>
      </c>
      <c r="N41" s="12">
        <f>Report_2026_Q1[[#This Row],[3 monthes  ORDER ]]*Report_2026_Q1[[#This Row],[cost by unit ]]</f>
        <v>600</v>
      </c>
      <c r="O41" s="14"/>
      <c r="P41" s="14"/>
      <c r="Q41" s="49">
        <f>Report_2026_Q1[[#This Row],[withdrawls villa ]]+Report_2026_Q1[[#This Row],[withdrawls IBN ]]</f>
        <v>27</v>
      </c>
      <c r="S41" s="49">
        <f>Report_2026_Q1[[#This Row],[3 monthes  ORDER ]]-Q41</f>
        <v>3</v>
      </c>
    </row>
    <row r="42" spans="1:19" s="15" customFormat="1" ht="15.6">
      <c r="A42" s="8"/>
      <c r="B42" s="9">
        <v>41</v>
      </c>
      <c r="C42" s="31" t="s">
        <v>59</v>
      </c>
      <c r="D42" s="22" t="s">
        <v>16</v>
      </c>
      <c r="E42" s="10">
        <v>30</v>
      </c>
      <c r="F42" s="11" t="s">
        <v>12</v>
      </c>
      <c r="G42" s="9">
        <v>0</v>
      </c>
      <c r="H42" s="12">
        <v>12</v>
      </c>
      <c r="I42" s="12">
        <f>Report_2026_Q1[[#This Row],[withdrawls villa ]]*Report_2026_Q1[[#This Row],[cost by unit ]]</f>
        <v>156</v>
      </c>
      <c r="J42" s="12">
        <v>17</v>
      </c>
      <c r="K42" s="12">
        <f>Report_2026_Q1[[#This Row],[withdrawls IBN ]]*Report_2026_Q1[[#This Row],[cost by unit ]]</f>
        <v>221</v>
      </c>
      <c r="L42" s="55">
        <v>13</v>
      </c>
      <c r="M42" s="13">
        <f>Report_2026_Q1[[#This Row],[cost villa ]]+Report_2026_Q1[[#This Row],[IBN cost ]]</f>
        <v>377</v>
      </c>
      <c r="N42" s="12">
        <f>Report_2026_Q1[[#This Row],[3 monthes  ORDER ]]*Report_2026_Q1[[#This Row],[cost by unit ]]</f>
        <v>390</v>
      </c>
      <c r="O42" s="14"/>
      <c r="P42" s="14"/>
      <c r="Q42" s="49">
        <f>Report_2026_Q1[[#This Row],[withdrawls villa ]]+Report_2026_Q1[[#This Row],[withdrawls IBN ]]</f>
        <v>29</v>
      </c>
      <c r="S42" s="49">
        <f>Report_2026_Q1[[#This Row],[3 monthes  ORDER ]]-Q42</f>
        <v>1</v>
      </c>
    </row>
    <row r="43" spans="1:19" s="6" customFormat="1" ht="15.6">
      <c r="A43" s="8"/>
      <c r="B43" s="9">
        <v>42</v>
      </c>
      <c r="C43" s="30" t="s">
        <v>60</v>
      </c>
      <c r="D43" s="22" t="s">
        <v>11</v>
      </c>
      <c r="E43" s="10">
        <v>240</v>
      </c>
      <c r="F43" s="11" t="s">
        <v>12</v>
      </c>
      <c r="G43" s="9">
        <v>0</v>
      </c>
      <c r="H43" s="12">
        <v>187</v>
      </c>
      <c r="I43" s="12">
        <f>Report_2026_Q1[[#This Row],[withdrawls villa ]]*Report_2026_Q1[[#This Row],[cost by unit ]]</f>
        <v>1683</v>
      </c>
      <c r="J43" s="12"/>
      <c r="K43" s="12">
        <f>Report_2026_Q1[[#This Row],[withdrawls IBN ]]*Report_2026_Q1[[#This Row],[cost by unit ]]</f>
        <v>0</v>
      </c>
      <c r="L43" s="54">
        <v>9</v>
      </c>
      <c r="M43" s="13">
        <f>Report_2026_Q1[[#This Row],[cost villa ]]+Report_2026_Q1[[#This Row],[IBN cost ]]</f>
        <v>1683</v>
      </c>
      <c r="N43" s="12">
        <f>Report_2026_Q1[[#This Row],[3 monthes  ORDER ]]*Report_2026_Q1[[#This Row],[cost by unit ]]</f>
        <v>2160</v>
      </c>
      <c r="O43" s="5"/>
      <c r="P43" s="5"/>
      <c r="Q43" s="49">
        <f>Report_2026_Q1[[#This Row],[withdrawls villa ]]+Report_2026_Q1[[#This Row],[withdrawls IBN ]]</f>
        <v>187</v>
      </c>
      <c r="S43" s="49">
        <f>Report_2026_Q1[[#This Row],[3 monthes  ORDER ]]-Q43</f>
        <v>53</v>
      </c>
    </row>
    <row r="44" spans="1:19" s="6" customFormat="1" ht="15.6">
      <c r="A44" s="16"/>
      <c r="B44" s="9">
        <v>43</v>
      </c>
      <c r="C44" s="33" t="s">
        <v>61</v>
      </c>
      <c r="D44" s="22" t="s">
        <v>16</v>
      </c>
      <c r="E44" s="10">
        <v>10</v>
      </c>
      <c r="F44" s="11" t="s">
        <v>12</v>
      </c>
      <c r="G44" s="9">
        <v>0</v>
      </c>
      <c r="H44" s="19">
        <v>7</v>
      </c>
      <c r="I44" s="19">
        <f>Report_2026_Q1[[#This Row],[withdrawls villa ]]*Report_2026_Q1[[#This Row],[cost by unit ]]</f>
        <v>595</v>
      </c>
      <c r="J44" s="19"/>
      <c r="K44" s="12">
        <f>Report_2026_Q1[[#This Row],[withdrawls IBN ]]*Report_2026_Q1[[#This Row],[cost by unit ]]</f>
        <v>0</v>
      </c>
      <c r="L44" s="56">
        <v>85</v>
      </c>
      <c r="M44" s="13">
        <f>Report_2026_Q1[[#This Row],[cost villa ]]+Report_2026_Q1[[#This Row],[IBN cost ]]</f>
        <v>595</v>
      </c>
      <c r="N44" s="12">
        <f>Report_2026_Q1[[#This Row],[3 monthes  ORDER ]]*Report_2026_Q1[[#This Row],[cost by unit ]]</f>
        <v>850</v>
      </c>
      <c r="O44" s="5"/>
      <c r="P44" s="5"/>
      <c r="Q44" s="49">
        <f>Report_2026_Q1[[#This Row],[withdrawls villa ]]+Report_2026_Q1[[#This Row],[withdrawls IBN ]]</f>
        <v>7</v>
      </c>
      <c r="S44" s="49">
        <f>Report_2026_Q1[[#This Row],[3 monthes  ORDER ]]-Q44</f>
        <v>3</v>
      </c>
    </row>
    <row r="45" spans="1:19" s="6" customFormat="1" ht="15.6">
      <c r="A45" s="8"/>
      <c r="B45" s="9">
        <v>44</v>
      </c>
      <c r="C45" s="35" t="s">
        <v>62</v>
      </c>
      <c r="D45" s="22" t="s">
        <v>28</v>
      </c>
      <c r="E45" s="10">
        <v>1</v>
      </c>
      <c r="F45" s="36" t="s">
        <v>63</v>
      </c>
      <c r="G45" s="9">
        <v>0</v>
      </c>
      <c r="H45" s="12">
        <v>1</v>
      </c>
      <c r="I45" s="12">
        <f>Report_2026_Q1[[#This Row],[withdrawls villa ]]*Report_2026_Q1[[#This Row],[cost by unit ]]</f>
        <v>260</v>
      </c>
      <c r="J45" s="12">
        <v>0</v>
      </c>
      <c r="K45" s="12">
        <f>Report_2026_Q1[[#This Row],[withdrawls IBN ]]*Report_2026_Q1[[#This Row],[cost by unit ]]</f>
        <v>0</v>
      </c>
      <c r="L45" s="54">
        <v>260</v>
      </c>
      <c r="M45" s="13">
        <f>Report_2026_Q1[[#This Row],[cost villa ]]+Report_2026_Q1[[#This Row],[IBN cost ]]</f>
        <v>260</v>
      </c>
      <c r="N45" s="12">
        <f>Report_2026_Q1[[#This Row],[3 monthes  ORDER ]]*Report_2026_Q1[[#This Row],[cost by unit ]]</f>
        <v>260</v>
      </c>
      <c r="O45" s="5"/>
      <c r="P45" s="5"/>
      <c r="Q45" s="49">
        <f>Report_2026_Q1[[#This Row],[withdrawls villa ]]+Report_2026_Q1[[#This Row],[withdrawls IBN ]]</f>
        <v>1</v>
      </c>
      <c r="S45" s="49">
        <f>Report_2026_Q1[[#This Row],[3 monthes  ORDER ]]-Q45</f>
        <v>0</v>
      </c>
    </row>
    <row r="46" spans="1:19" s="15" customFormat="1" ht="15.6">
      <c r="A46" s="8"/>
      <c r="B46" s="9">
        <v>45</v>
      </c>
      <c r="C46" s="37" t="s">
        <v>64</v>
      </c>
      <c r="D46" s="22" t="s">
        <v>16</v>
      </c>
      <c r="E46" s="10">
        <v>120</v>
      </c>
      <c r="F46" s="36" t="s">
        <v>63</v>
      </c>
      <c r="G46" s="9">
        <v>0</v>
      </c>
      <c r="H46" s="12">
        <v>53</v>
      </c>
      <c r="I46" s="12">
        <f>Report_2026_Q1[[#This Row],[withdrawls villa ]]*Report_2026_Q1[[#This Row],[cost by unit ]]</f>
        <v>3180</v>
      </c>
      <c r="J46" s="46">
        <v>27</v>
      </c>
      <c r="K46" s="12">
        <f>Report_2026_Q1[[#This Row],[withdrawls IBN ]]*Report_2026_Q1[[#This Row],[cost by unit ]]</f>
        <v>1620</v>
      </c>
      <c r="L46" s="55">
        <v>60</v>
      </c>
      <c r="M46" s="13">
        <f>Report_2026_Q1[[#This Row],[cost villa ]]+Report_2026_Q1[[#This Row],[IBN cost ]]</f>
        <v>4800</v>
      </c>
      <c r="N46" s="12">
        <f>Report_2026_Q1[[#This Row],[3 monthes  ORDER ]]*Report_2026_Q1[[#This Row],[cost by unit ]]</f>
        <v>7200</v>
      </c>
      <c r="O46" s="14"/>
      <c r="P46" s="14"/>
      <c r="Q46" s="49">
        <f>Report_2026_Q1[[#This Row],[withdrawls villa ]]+Report_2026_Q1[[#This Row],[withdrawls IBN ]]</f>
        <v>80</v>
      </c>
      <c r="S46" s="49">
        <f>Report_2026_Q1[[#This Row],[3 monthes  ORDER ]]-Q46</f>
        <v>40</v>
      </c>
    </row>
    <row r="47" spans="1:19" s="15" customFormat="1" ht="15.6">
      <c r="A47" s="8"/>
      <c r="B47" s="9">
        <v>46</v>
      </c>
      <c r="C47" s="37" t="s">
        <v>65</v>
      </c>
      <c r="D47" s="22" t="s">
        <v>28</v>
      </c>
      <c r="E47" s="10">
        <v>14</v>
      </c>
      <c r="F47" s="36" t="s">
        <v>63</v>
      </c>
      <c r="G47" s="9">
        <v>0</v>
      </c>
      <c r="H47" s="12">
        <v>2</v>
      </c>
      <c r="I47" s="12">
        <f>Report_2026_Q1[[#This Row],[withdrawls villa ]]*Report_2026_Q1[[#This Row],[cost by unit ]]</f>
        <v>150</v>
      </c>
      <c r="J47" s="12">
        <v>4</v>
      </c>
      <c r="K47" s="12">
        <f>Report_2026_Q1[[#This Row],[withdrawls IBN ]]*Report_2026_Q1[[#This Row],[cost by unit ]]</f>
        <v>300</v>
      </c>
      <c r="L47" s="55">
        <v>75</v>
      </c>
      <c r="M47" s="13">
        <f>Report_2026_Q1[[#This Row],[cost villa ]]+Report_2026_Q1[[#This Row],[IBN cost ]]</f>
        <v>450</v>
      </c>
      <c r="N47" s="12">
        <f>Report_2026_Q1[[#This Row],[3 monthes  ORDER ]]*Report_2026_Q1[[#This Row],[cost by unit ]]</f>
        <v>1050</v>
      </c>
      <c r="O47" s="14"/>
      <c r="P47" s="14"/>
      <c r="Q47" s="49">
        <f>Report_2026_Q1[[#This Row],[withdrawls villa ]]+Report_2026_Q1[[#This Row],[withdrawls IBN ]]</f>
        <v>6</v>
      </c>
      <c r="S47" s="49">
        <f>Report_2026_Q1[[#This Row],[3 monthes  ORDER ]]-Q47</f>
        <v>8</v>
      </c>
    </row>
    <row r="48" spans="1:19" s="15" customFormat="1" ht="15.6">
      <c r="A48" s="8"/>
      <c r="B48" s="9">
        <v>47</v>
      </c>
      <c r="C48" s="37" t="s">
        <v>66</v>
      </c>
      <c r="D48" s="22" t="s">
        <v>28</v>
      </c>
      <c r="E48" s="10">
        <v>7</v>
      </c>
      <c r="F48" s="36" t="s">
        <v>63</v>
      </c>
      <c r="G48" s="9">
        <v>0</v>
      </c>
      <c r="H48" s="12">
        <v>2</v>
      </c>
      <c r="I48" s="12">
        <f>Report_2026_Q1[[#This Row],[withdrawls villa ]]*Report_2026_Q1[[#This Row],[cost by unit ]]</f>
        <v>116</v>
      </c>
      <c r="J48" s="12">
        <v>2</v>
      </c>
      <c r="K48" s="12">
        <f>Report_2026_Q1[[#This Row],[withdrawls IBN ]]*Report_2026_Q1[[#This Row],[cost by unit ]]</f>
        <v>116</v>
      </c>
      <c r="L48" s="55">
        <v>58</v>
      </c>
      <c r="M48" s="13">
        <f>Report_2026_Q1[[#This Row],[cost villa ]]+Report_2026_Q1[[#This Row],[IBN cost ]]</f>
        <v>232</v>
      </c>
      <c r="N48" s="12">
        <f>Report_2026_Q1[[#This Row],[3 monthes  ORDER ]]*Report_2026_Q1[[#This Row],[cost by unit ]]</f>
        <v>406</v>
      </c>
      <c r="O48" s="14"/>
      <c r="P48" s="14"/>
      <c r="Q48" s="49">
        <f>Report_2026_Q1[[#This Row],[withdrawls villa ]]+Report_2026_Q1[[#This Row],[withdrawls IBN ]]</f>
        <v>4</v>
      </c>
      <c r="S48" s="49">
        <f>Report_2026_Q1[[#This Row],[3 monthes  ORDER ]]-Q48</f>
        <v>3</v>
      </c>
    </row>
    <row r="49" spans="1:19" s="15" customFormat="1" ht="15.6">
      <c r="A49" s="8"/>
      <c r="B49" s="9">
        <v>48</v>
      </c>
      <c r="C49" s="37" t="s">
        <v>67</v>
      </c>
      <c r="D49" s="22" t="s">
        <v>28</v>
      </c>
      <c r="E49" s="10">
        <v>7</v>
      </c>
      <c r="F49" s="36" t="s">
        <v>63</v>
      </c>
      <c r="G49" s="9">
        <v>0</v>
      </c>
      <c r="H49" s="12">
        <v>1</v>
      </c>
      <c r="I49" s="12">
        <f>Report_2026_Q1[[#This Row],[withdrawls villa ]]*Report_2026_Q1[[#This Row],[cost by unit ]]</f>
        <v>58</v>
      </c>
      <c r="J49" s="12">
        <v>2</v>
      </c>
      <c r="K49" s="12">
        <f>Report_2026_Q1[[#This Row],[withdrawls IBN ]]*Report_2026_Q1[[#This Row],[cost by unit ]]</f>
        <v>116</v>
      </c>
      <c r="L49" s="55">
        <v>58</v>
      </c>
      <c r="M49" s="13">
        <f>Report_2026_Q1[[#This Row],[cost villa ]]+Report_2026_Q1[[#This Row],[IBN cost ]]</f>
        <v>174</v>
      </c>
      <c r="N49" s="12">
        <f>Report_2026_Q1[[#This Row],[3 monthes  ORDER ]]*Report_2026_Q1[[#This Row],[cost by unit ]]</f>
        <v>406</v>
      </c>
      <c r="O49" s="14"/>
      <c r="P49" s="14"/>
      <c r="Q49" s="49">
        <f>Report_2026_Q1[[#This Row],[withdrawls villa ]]+Report_2026_Q1[[#This Row],[withdrawls IBN ]]</f>
        <v>3</v>
      </c>
      <c r="S49" s="49">
        <f>Report_2026_Q1[[#This Row],[3 monthes  ORDER ]]-Q49</f>
        <v>4</v>
      </c>
    </row>
    <row r="50" spans="1:19" s="15" customFormat="1" ht="15.6">
      <c r="A50" s="8"/>
      <c r="B50" s="9">
        <v>49</v>
      </c>
      <c r="C50" s="37" t="s">
        <v>68</v>
      </c>
      <c r="D50" s="22" t="s">
        <v>28</v>
      </c>
      <c r="E50" s="10">
        <v>4</v>
      </c>
      <c r="F50" s="36" t="s">
        <v>63</v>
      </c>
      <c r="G50" s="9">
        <v>0</v>
      </c>
      <c r="H50" s="12">
        <v>2</v>
      </c>
      <c r="I50" s="12">
        <f>Report_2026_Q1[[#This Row],[withdrawls villa ]]*Report_2026_Q1[[#This Row],[cost by unit ]]</f>
        <v>80</v>
      </c>
      <c r="J50" s="12">
        <v>1</v>
      </c>
      <c r="K50" s="12">
        <f>Report_2026_Q1[[#This Row],[withdrawls IBN ]]*Report_2026_Q1[[#This Row],[cost by unit ]]</f>
        <v>40</v>
      </c>
      <c r="L50" s="55">
        <v>40</v>
      </c>
      <c r="M50" s="13">
        <f>Report_2026_Q1[[#This Row],[cost villa ]]+Report_2026_Q1[[#This Row],[IBN cost ]]</f>
        <v>120</v>
      </c>
      <c r="N50" s="12">
        <f>Report_2026_Q1[[#This Row],[3 monthes  ORDER ]]*Report_2026_Q1[[#This Row],[cost by unit ]]</f>
        <v>160</v>
      </c>
      <c r="O50" s="14"/>
      <c r="P50" s="14"/>
      <c r="Q50" s="49">
        <f>Report_2026_Q1[[#This Row],[withdrawls villa ]]+Report_2026_Q1[[#This Row],[withdrawls IBN ]]</f>
        <v>3</v>
      </c>
      <c r="S50" s="49">
        <f>Report_2026_Q1[[#This Row],[3 monthes  ORDER ]]-Q50</f>
        <v>1</v>
      </c>
    </row>
    <row r="51" spans="1:19" s="15" customFormat="1" ht="15.6">
      <c r="A51" s="8"/>
      <c r="B51" s="9">
        <v>50</v>
      </c>
      <c r="C51" s="37" t="s">
        <v>69</v>
      </c>
      <c r="D51" s="22" t="s">
        <v>52</v>
      </c>
      <c r="E51" s="10">
        <v>1</v>
      </c>
      <c r="F51" s="36" t="s">
        <v>63</v>
      </c>
      <c r="G51" s="9">
        <v>0</v>
      </c>
      <c r="H51" s="12">
        <v>1</v>
      </c>
      <c r="I51" s="12">
        <f>Report_2026_Q1[[#This Row],[withdrawls villa ]]*Report_2026_Q1[[#This Row],[cost by unit ]]</f>
        <v>40</v>
      </c>
      <c r="J51" s="12"/>
      <c r="K51" s="12">
        <f>Report_2026_Q1[[#This Row],[withdrawls IBN ]]*Report_2026_Q1[[#This Row],[cost by unit ]]</f>
        <v>0</v>
      </c>
      <c r="L51" s="55">
        <v>40</v>
      </c>
      <c r="M51" s="13">
        <f>Report_2026_Q1[[#This Row],[cost villa ]]+Report_2026_Q1[[#This Row],[IBN cost ]]</f>
        <v>40</v>
      </c>
      <c r="N51" s="12">
        <f>Report_2026_Q1[[#This Row],[3 monthes  ORDER ]]*Report_2026_Q1[[#This Row],[cost by unit ]]</f>
        <v>40</v>
      </c>
      <c r="O51" s="14"/>
      <c r="P51" s="14"/>
      <c r="Q51" s="49">
        <f>Report_2026_Q1[[#This Row],[withdrawls villa ]]+Report_2026_Q1[[#This Row],[withdrawls IBN ]]</f>
        <v>1</v>
      </c>
      <c r="S51" s="49">
        <f>Report_2026_Q1[[#This Row],[3 monthes  ORDER ]]-Q51</f>
        <v>0</v>
      </c>
    </row>
    <row r="52" spans="1:19" s="15" customFormat="1" ht="15.6">
      <c r="A52" s="8"/>
      <c r="B52" s="9">
        <v>51</v>
      </c>
      <c r="C52" s="37" t="s">
        <v>70</v>
      </c>
      <c r="D52" s="22" t="s">
        <v>28</v>
      </c>
      <c r="E52" s="10">
        <v>1</v>
      </c>
      <c r="F52" s="36" t="s">
        <v>63</v>
      </c>
      <c r="G52" s="9">
        <v>0</v>
      </c>
      <c r="H52" s="12">
        <v>0.5</v>
      </c>
      <c r="I52" s="12">
        <f>Report_2026_Q1[[#This Row],[withdrawls villa ]]*Report_2026_Q1[[#This Row],[cost by unit ]]</f>
        <v>55</v>
      </c>
      <c r="J52" s="12">
        <v>0.5</v>
      </c>
      <c r="K52" s="12">
        <f>Report_2026_Q1[[#This Row],[withdrawls IBN ]]*Report_2026_Q1[[#This Row],[cost by unit ]]</f>
        <v>55</v>
      </c>
      <c r="L52" s="55">
        <v>110</v>
      </c>
      <c r="M52" s="13">
        <f>Report_2026_Q1[[#This Row],[cost villa ]]+Report_2026_Q1[[#This Row],[IBN cost ]]</f>
        <v>110</v>
      </c>
      <c r="N52" s="12">
        <f>Report_2026_Q1[[#This Row],[3 monthes  ORDER ]]*Report_2026_Q1[[#This Row],[cost by unit ]]</f>
        <v>110</v>
      </c>
      <c r="O52" s="14"/>
      <c r="P52" s="14"/>
      <c r="Q52" s="49">
        <f>Report_2026_Q1[[#This Row],[withdrawls villa ]]+Report_2026_Q1[[#This Row],[withdrawls IBN ]]</f>
        <v>1</v>
      </c>
      <c r="S52" s="49">
        <f>Report_2026_Q1[[#This Row],[3 monthes  ORDER ]]-Q52</f>
        <v>0</v>
      </c>
    </row>
    <row r="53" spans="1:19" s="15" customFormat="1" ht="15.6">
      <c r="A53" s="8"/>
      <c r="B53" s="9">
        <v>52</v>
      </c>
      <c r="C53" s="37" t="s">
        <v>71</v>
      </c>
      <c r="D53" s="22" t="s">
        <v>28</v>
      </c>
      <c r="E53" s="10">
        <v>6</v>
      </c>
      <c r="F53" s="36" t="s">
        <v>63</v>
      </c>
      <c r="G53" s="9">
        <v>0</v>
      </c>
      <c r="H53" s="12">
        <v>3</v>
      </c>
      <c r="I53" s="12">
        <f>Report_2026_Q1[[#This Row],[withdrawls villa ]]*Report_2026_Q1[[#This Row],[cost by unit ]]</f>
        <v>120</v>
      </c>
      <c r="J53" s="12">
        <v>1</v>
      </c>
      <c r="K53" s="12">
        <f>Report_2026_Q1[[#This Row],[withdrawls IBN ]]*Report_2026_Q1[[#This Row],[cost by unit ]]</f>
        <v>40</v>
      </c>
      <c r="L53" s="55">
        <v>40</v>
      </c>
      <c r="M53" s="13">
        <f>Report_2026_Q1[[#This Row],[cost villa ]]+Report_2026_Q1[[#This Row],[IBN cost ]]</f>
        <v>160</v>
      </c>
      <c r="N53" s="12">
        <f>Report_2026_Q1[[#This Row],[3 monthes  ORDER ]]*Report_2026_Q1[[#This Row],[cost by unit ]]</f>
        <v>240</v>
      </c>
      <c r="O53" s="14"/>
      <c r="P53" s="14"/>
      <c r="Q53" s="49">
        <f>Report_2026_Q1[[#This Row],[withdrawls villa ]]+Report_2026_Q1[[#This Row],[withdrawls IBN ]]</f>
        <v>4</v>
      </c>
      <c r="S53" s="49">
        <f>Report_2026_Q1[[#This Row],[3 monthes  ORDER ]]-Q53</f>
        <v>2</v>
      </c>
    </row>
    <row r="54" spans="1:19" s="15" customFormat="1" ht="15.6">
      <c r="A54" s="8"/>
      <c r="B54" s="9">
        <v>53</v>
      </c>
      <c r="C54" s="37" t="s">
        <v>72</v>
      </c>
      <c r="D54" s="22" t="s">
        <v>28</v>
      </c>
      <c r="E54" s="10">
        <v>3</v>
      </c>
      <c r="F54" s="36" t="s">
        <v>63</v>
      </c>
      <c r="G54" s="9">
        <v>0</v>
      </c>
      <c r="H54" s="12">
        <v>1</v>
      </c>
      <c r="I54" s="12">
        <f>Report_2026_Q1[[#This Row],[withdrawls villa ]]*Report_2026_Q1[[#This Row],[cost by unit ]]</f>
        <v>145</v>
      </c>
      <c r="J54" s="12">
        <v>1</v>
      </c>
      <c r="K54" s="12">
        <f>Report_2026_Q1[[#This Row],[withdrawls IBN ]]*Report_2026_Q1[[#This Row],[cost by unit ]]</f>
        <v>145</v>
      </c>
      <c r="L54" s="55">
        <v>145</v>
      </c>
      <c r="M54" s="13">
        <f>Report_2026_Q1[[#This Row],[cost villa ]]+Report_2026_Q1[[#This Row],[IBN cost ]]</f>
        <v>290</v>
      </c>
      <c r="N54" s="12">
        <f>Report_2026_Q1[[#This Row],[3 monthes  ORDER ]]*Report_2026_Q1[[#This Row],[cost by unit ]]</f>
        <v>435</v>
      </c>
      <c r="O54" s="14"/>
      <c r="P54" s="14"/>
      <c r="Q54" s="49">
        <f>Report_2026_Q1[[#This Row],[withdrawls villa ]]+Report_2026_Q1[[#This Row],[withdrawls IBN ]]</f>
        <v>2</v>
      </c>
      <c r="S54" s="49">
        <f>Report_2026_Q1[[#This Row],[3 monthes  ORDER ]]-Q54</f>
        <v>1</v>
      </c>
    </row>
    <row r="55" spans="1:19" s="15" customFormat="1" ht="15.6">
      <c r="A55" s="8"/>
      <c r="B55" s="9">
        <v>54</v>
      </c>
      <c r="C55" s="37" t="s">
        <v>73</v>
      </c>
      <c r="D55" s="22" t="s">
        <v>28</v>
      </c>
      <c r="E55" s="10">
        <v>1</v>
      </c>
      <c r="F55" s="36" t="s">
        <v>63</v>
      </c>
      <c r="G55" s="9">
        <v>0</v>
      </c>
      <c r="H55" s="12">
        <v>0.6</v>
      </c>
      <c r="I55" s="12">
        <f>Report_2026_Q1[[#This Row],[withdrawls villa ]]*Report_2026_Q1[[#This Row],[cost by unit ]]</f>
        <v>76.8</v>
      </c>
      <c r="J55" s="12">
        <v>0.4</v>
      </c>
      <c r="K55" s="12">
        <f>Report_2026_Q1[[#This Row],[withdrawls IBN ]]*Report_2026_Q1[[#This Row],[cost by unit ]]</f>
        <v>51.2</v>
      </c>
      <c r="L55" s="55">
        <v>128</v>
      </c>
      <c r="M55" s="13">
        <f>Report_2026_Q1[[#This Row],[cost villa ]]+Report_2026_Q1[[#This Row],[IBN cost ]]</f>
        <v>128</v>
      </c>
      <c r="N55" s="12">
        <f>Report_2026_Q1[[#This Row],[3 monthes  ORDER ]]*Report_2026_Q1[[#This Row],[cost by unit ]]</f>
        <v>128</v>
      </c>
      <c r="O55" s="14"/>
      <c r="P55" s="14"/>
      <c r="Q55" s="49">
        <f>Report_2026_Q1[[#This Row],[withdrawls villa ]]+Report_2026_Q1[[#This Row],[withdrawls IBN ]]</f>
        <v>1</v>
      </c>
      <c r="S55" s="49">
        <f>Report_2026_Q1[[#This Row],[3 monthes  ORDER ]]-Q55</f>
        <v>0</v>
      </c>
    </row>
    <row r="56" spans="1:19" s="15" customFormat="1" ht="15.6">
      <c r="A56" s="8"/>
      <c r="B56" s="9">
        <v>55</v>
      </c>
      <c r="C56" s="37" t="s">
        <v>74</v>
      </c>
      <c r="D56" s="22" t="s">
        <v>52</v>
      </c>
      <c r="E56" s="10">
        <v>3</v>
      </c>
      <c r="F56" s="36" t="s">
        <v>63</v>
      </c>
      <c r="G56" s="9">
        <v>0</v>
      </c>
      <c r="H56" s="12">
        <v>1</v>
      </c>
      <c r="I56" s="12">
        <f>Report_2026_Q1[[#This Row],[withdrawls villa ]]*Report_2026_Q1[[#This Row],[cost by unit ]]</f>
        <v>4.5</v>
      </c>
      <c r="J56" s="12">
        <v>1</v>
      </c>
      <c r="K56" s="12">
        <f>Report_2026_Q1[[#This Row],[withdrawls IBN ]]*Report_2026_Q1[[#This Row],[cost by unit ]]</f>
        <v>4.5</v>
      </c>
      <c r="L56" s="55">
        <v>4.5</v>
      </c>
      <c r="M56" s="13">
        <f>Report_2026_Q1[[#This Row],[cost villa ]]+Report_2026_Q1[[#This Row],[IBN cost ]]</f>
        <v>9</v>
      </c>
      <c r="N56" s="12">
        <f>Report_2026_Q1[[#This Row],[3 monthes  ORDER ]]*Report_2026_Q1[[#This Row],[cost by unit ]]</f>
        <v>13.5</v>
      </c>
      <c r="O56" s="14"/>
      <c r="P56" s="14"/>
      <c r="Q56" s="49">
        <f>Report_2026_Q1[[#This Row],[withdrawls villa ]]+Report_2026_Q1[[#This Row],[withdrawls IBN ]]</f>
        <v>2</v>
      </c>
      <c r="S56" s="49">
        <f>Report_2026_Q1[[#This Row],[3 monthes  ORDER ]]-Q56</f>
        <v>1</v>
      </c>
    </row>
    <row r="57" spans="1:19" s="15" customFormat="1" ht="15.6">
      <c r="A57" s="8"/>
      <c r="B57" s="9">
        <v>56</v>
      </c>
      <c r="C57" s="37" t="s">
        <v>75</v>
      </c>
      <c r="D57" s="22" t="s">
        <v>28</v>
      </c>
      <c r="E57" s="10">
        <v>2</v>
      </c>
      <c r="F57" s="36" t="s">
        <v>63</v>
      </c>
      <c r="G57" s="9">
        <v>0</v>
      </c>
      <c r="H57" s="12">
        <v>2</v>
      </c>
      <c r="I57" s="12">
        <f>Report_2026_Q1[[#This Row],[withdrawls villa ]]*Report_2026_Q1[[#This Row],[cost by unit ]]</f>
        <v>120</v>
      </c>
      <c r="J57" s="12"/>
      <c r="K57" s="12">
        <f>Report_2026_Q1[[#This Row],[withdrawls IBN ]]*Report_2026_Q1[[#This Row],[cost by unit ]]</f>
        <v>0</v>
      </c>
      <c r="L57" s="55">
        <v>60</v>
      </c>
      <c r="M57" s="13">
        <f>Report_2026_Q1[[#This Row],[cost villa ]]+Report_2026_Q1[[#This Row],[IBN cost ]]</f>
        <v>120</v>
      </c>
      <c r="N57" s="12">
        <f>Report_2026_Q1[[#This Row],[3 monthes  ORDER ]]*Report_2026_Q1[[#This Row],[cost by unit ]]</f>
        <v>120</v>
      </c>
      <c r="O57" s="14"/>
      <c r="P57" s="14"/>
      <c r="Q57" s="49">
        <f>Report_2026_Q1[[#This Row],[withdrawls villa ]]+Report_2026_Q1[[#This Row],[withdrawls IBN ]]</f>
        <v>2</v>
      </c>
      <c r="S57" s="49">
        <f>Report_2026_Q1[[#This Row],[3 monthes  ORDER ]]-Q57</f>
        <v>0</v>
      </c>
    </row>
    <row r="58" spans="1:19" s="15" customFormat="1" ht="15.6">
      <c r="A58" s="16"/>
      <c r="B58" s="9">
        <v>57</v>
      </c>
      <c r="C58" s="37" t="s">
        <v>76</v>
      </c>
      <c r="D58" s="22" t="s">
        <v>28</v>
      </c>
      <c r="E58" s="10">
        <v>2</v>
      </c>
      <c r="F58" s="36" t="s">
        <v>63</v>
      </c>
      <c r="G58" s="9">
        <v>0</v>
      </c>
      <c r="H58" s="19">
        <v>2</v>
      </c>
      <c r="I58" s="19">
        <f>Report_2026_Q1[[#This Row],[withdrawls villa ]]*Report_2026_Q1[[#This Row],[cost by unit ]]</f>
        <v>90</v>
      </c>
      <c r="J58" s="19"/>
      <c r="K58" s="12">
        <f>Report_2026_Q1[[#This Row],[withdrawls IBN ]]*Report_2026_Q1[[#This Row],[cost by unit ]]</f>
        <v>0</v>
      </c>
      <c r="L58" s="55">
        <v>45</v>
      </c>
      <c r="M58" s="13">
        <f>Report_2026_Q1[[#This Row],[cost villa ]]+Report_2026_Q1[[#This Row],[IBN cost ]]</f>
        <v>90</v>
      </c>
      <c r="N58" s="20">
        <f>Report_2026_Q1[[#This Row],[3 monthes  ORDER ]]*Report_2026_Q1[[#This Row],[cost by unit ]]</f>
        <v>90</v>
      </c>
      <c r="O58" s="14"/>
      <c r="P58" s="14"/>
      <c r="Q58" s="49">
        <f>Report_2026_Q1[[#This Row],[withdrawls villa ]]+Report_2026_Q1[[#This Row],[withdrawls IBN ]]</f>
        <v>2</v>
      </c>
      <c r="S58" s="49">
        <f>Report_2026_Q1[[#This Row],[3 monthes  ORDER ]]-Q58</f>
        <v>0</v>
      </c>
    </row>
    <row r="59" spans="1:19" s="15" customFormat="1" ht="15.6">
      <c r="A59" s="16"/>
      <c r="B59" s="9">
        <v>58</v>
      </c>
      <c r="C59" s="37" t="s">
        <v>77</v>
      </c>
      <c r="D59" s="22" t="s">
        <v>28</v>
      </c>
      <c r="E59" s="10">
        <v>0</v>
      </c>
      <c r="F59" s="36" t="s">
        <v>63</v>
      </c>
      <c r="G59" s="9">
        <v>0</v>
      </c>
      <c r="H59" s="19"/>
      <c r="I59" s="19">
        <f>Report_2026_Q1[[#This Row],[withdrawls villa ]]*Report_2026_Q1[[#This Row],[cost by unit ]]</f>
        <v>0</v>
      </c>
      <c r="J59" s="19"/>
      <c r="K59" s="12">
        <f>Report_2026_Q1[[#This Row],[withdrawls IBN ]]*Report_2026_Q1[[#This Row],[cost by unit ]]</f>
        <v>0</v>
      </c>
      <c r="L59" s="55">
        <v>70</v>
      </c>
      <c r="M59" s="13">
        <f>Report_2026_Q1[[#This Row],[cost villa ]]+Report_2026_Q1[[#This Row],[IBN cost ]]</f>
        <v>0</v>
      </c>
      <c r="N59" s="20">
        <f>Report_2026_Q1[[#This Row],[3 monthes  ORDER ]]*Report_2026_Q1[[#This Row],[cost by unit ]]</f>
        <v>0</v>
      </c>
      <c r="O59" s="14"/>
      <c r="P59" s="14"/>
      <c r="Q59" s="49">
        <f>Report_2026_Q1[[#This Row],[withdrawls villa ]]+Report_2026_Q1[[#This Row],[withdrawls IBN ]]</f>
        <v>0</v>
      </c>
      <c r="S59" s="49">
        <f>Report_2026_Q1[[#This Row],[3 monthes  ORDER ]]-Q59</f>
        <v>0</v>
      </c>
    </row>
    <row r="60" spans="1:19" s="15" customFormat="1" ht="15.6">
      <c r="A60" s="8"/>
      <c r="B60" s="9">
        <v>59</v>
      </c>
      <c r="C60" s="32" t="s">
        <v>78</v>
      </c>
      <c r="D60" s="32" t="s">
        <v>11</v>
      </c>
      <c r="E60" s="10">
        <v>120</v>
      </c>
      <c r="F60" s="36" t="s">
        <v>63</v>
      </c>
      <c r="G60" s="9">
        <v>0</v>
      </c>
      <c r="H60" s="12"/>
      <c r="I60" s="12">
        <f>Report_2026_Q1[[#This Row],[withdrawls villa ]]*Report_2026_Q1[[#This Row],[cost by unit ]]</f>
        <v>0</v>
      </c>
      <c r="J60" s="12"/>
      <c r="K60" s="12">
        <f>Report_2026_Q1[[#This Row],[withdrawls IBN ]]*Report_2026_Q1[[#This Row],[cost by unit ]]</f>
        <v>0</v>
      </c>
      <c r="L60" s="55">
        <v>4</v>
      </c>
      <c r="M60" s="13">
        <f>Report_2026_Q1[[#This Row],[cost villa ]]+Report_2026_Q1[[#This Row],[IBN cost ]]</f>
        <v>0</v>
      </c>
      <c r="N60" s="12">
        <f>Report_2026_Q1[[#This Row],[3 monthes  ORDER ]]*Report_2026_Q1[[#This Row],[cost by unit ]]</f>
        <v>480</v>
      </c>
      <c r="O60" s="14"/>
      <c r="P60" s="14"/>
      <c r="Q60" s="49">
        <f>Report_2026_Q1[[#This Row],[withdrawls villa ]]+Report_2026_Q1[[#This Row],[withdrawls IBN ]]</f>
        <v>0</v>
      </c>
      <c r="S60" s="49">
        <f>Report_2026_Q1[[#This Row],[3 monthes  ORDER ]]-Q60</f>
        <v>120</v>
      </c>
    </row>
    <row r="61" spans="1:19" s="15" customFormat="1" ht="15.6">
      <c r="A61" s="8"/>
      <c r="B61" s="9">
        <v>60</v>
      </c>
      <c r="C61" s="32" t="s">
        <v>79</v>
      </c>
      <c r="D61" s="22" t="s">
        <v>52</v>
      </c>
      <c r="E61" s="10">
        <v>6</v>
      </c>
      <c r="F61" s="36" t="s">
        <v>63</v>
      </c>
      <c r="G61" s="9">
        <v>0</v>
      </c>
      <c r="H61" s="12">
        <v>3</v>
      </c>
      <c r="I61" s="12">
        <f>Report_2026_Q1[[#This Row],[withdrawls villa ]]*Report_2026_Q1[[#This Row],[cost by unit ]]</f>
        <v>105</v>
      </c>
      <c r="J61" s="12">
        <v>1</v>
      </c>
      <c r="K61" s="12">
        <f>Report_2026_Q1[[#This Row],[withdrawls IBN ]]*Report_2026_Q1[[#This Row],[cost by unit ]]</f>
        <v>35</v>
      </c>
      <c r="L61" s="55">
        <v>35</v>
      </c>
      <c r="M61" s="13">
        <f>Report_2026_Q1[[#This Row],[cost villa ]]+Report_2026_Q1[[#This Row],[IBN cost ]]</f>
        <v>140</v>
      </c>
      <c r="N61" s="12">
        <f>Report_2026_Q1[[#This Row],[3 monthes  ORDER ]]*Report_2026_Q1[[#This Row],[cost by unit ]]</f>
        <v>210</v>
      </c>
      <c r="O61" s="14"/>
      <c r="P61" s="14"/>
      <c r="Q61" s="49">
        <f>Report_2026_Q1[[#This Row],[withdrawls villa ]]+Report_2026_Q1[[#This Row],[withdrawls IBN ]]</f>
        <v>4</v>
      </c>
      <c r="S61" s="49">
        <f>Report_2026_Q1[[#This Row],[3 monthes  ORDER ]]-Q61</f>
        <v>2</v>
      </c>
    </row>
    <row r="62" spans="1:19" s="15" customFormat="1" ht="15.6">
      <c r="A62" s="8"/>
      <c r="B62" s="9">
        <v>61</v>
      </c>
      <c r="C62" s="32" t="s">
        <v>80</v>
      </c>
      <c r="D62" s="22" t="s">
        <v>28</v>
      </c>
      <c r="E62" s="10">
        <v>30</v>
      </c>
      <c r="F62" s="36" t="s">
        <v>63</v>
      </c>
      <c r="G62" s="9">
        <v>0</v>
      </c>
      <c r="H62" s="12">
        <v>19</v>
      </c>
      <c r="I62" s="12">
        <f>Report_2026_Q1[[#This Row],[withdrawls villa ]]*Report_2026_Q1[[#This Row],[cost by unit ]]</f>
        <v>1520</v>
      </c>
      <c r="J62" s="12">
        <v>11</v>
      </c>
      <c r="K62" s="12">
        <f>Report_2026_Q1[[#This Row],[withdrawls IBN ]]*Report_2026_Q1[[#This Row],[cost by unit ]]</f>
        <v>880</v>
      </c>
      <c r="L62" s="55">
        <v>80</v>
      </c>
      <c r="M62" s="13">
        <f>Report_2026_Q1[[#This Row],[cost villa ]]+Report_2026_Q1[[#This Row],[IBN cost ]]</f>
        <v>2400</v>
      </c>
      <c r="N62" s="12">
        <f>Report_2026_Q1[[#This Row],[3 monthes  ORDER ]]*Report_2026_Q1[[#This Row],[cost by unit ]]</f>
        <v>2400</v>
      </c>
      <c r="O62" s="14"/>
      <c r="P62" s="14"/>
      <c r="Q62" s="49">
        <f>Report_2026_Q1[[#This Row],[withdrawls villa ]]+Report_2026_Q1[[#This Row],[withdrawls IBN ]]</f>
        <v>30</v>
      </c>
      <c r="S62" s="49">
        <f>Report_2026_Q1[[#This Row],[3 monthes  ORDER ]]-Q62</f>
        <v>0</v>
      </c>
    </row>
    <row r="63" spans="1:19" s="15" customFormat="1" ht="15.6">
      <c r="A63" s="8"/>
      <c r="B63" s="9">
        <v>62</v>
      </c>
      <c r="C63" s="32" t="s">
        <v>81</v>
      </c>
      <c r="D63" s="22" t="s">
        <v>52</v>
      </c>
      <c r="E63" s="10">
        <v>60</v>
      </c>
      <c r="F63" s="36" t="s">
        <v>63</v>
      </c>
      <c r="G63" s="9">
        <v>0</v>
      </c>
      <c r="H63" s="12">
        <v>30</v>
      </c>
      <c r="I63" s="12">
        <f>Report_2026_Q1[[#This Row],[withdrawls villa ]]*Report_2026_Q1[[#This Row],[cost by unit ]]</f>
        <v>840</v>
      </c>
      <c r="J63" s="12">
        <v>27</v>
      </c>
      <c r="K63" s="12">
        <f>Report_2026_Q1[[#This Row],[withdrawls IBN ]]*Report_2026_Q1[[#This Row],[cost by unit ]]</f>
        <v>756</v>
      </c>
      <c r="L63" s="55">
        <v>28</v>
      </c>
      <c r="M63" s="13">
        <f>Report_2026_Q1[[#This Row],[cost villa ]]+Report_2026_Q1[[#This Row],[IBN cost ]]</f>
        <v>1596</v>
      </c>
      <c r="N63" s="12">
        <f>Report_2026_Q1[[#This Row],[3 monthes  ORDER ]]*Report_2026_Q1[[#This Row],[cost by unit ]]</f>
        <v>1680</v>
      </c>
      <c r="O63" s="14"/>
      <c r="P63" s="14"/>
      <c r="Q63" s="49">
        <f>Report_2026_Q1[[#This Row],[withdrawls villa ]]+Report_2026_Q1[[#This Row],[withdrawls IBN ]]</f>
        <v>57</v>
      </c>
      <c r="S63" s="49">
        <f>Report_2026_Q1[[#This Row],[3 monthes  ORDER ]]-Q63</f>
        <v>3</v>
      </c>
    </row>
    <row r="64" spans="1:19" s="15" customFormat="1" ht="15.6">
      <c r="A64" s="8"/>
      <c r="B64" s="9">
        <v>63</v>
      </c>
      <c r="C64" s="32" t="s">
        <v>82</v>
      </c>
      <c r="D64" s="22" t="s">
        <v>28</v>
      </c>
      <c r="E64" s="10">
        <v>6</v>
      </c>
      <c r="F64" s="36" t="s">
        <v>63</v>
      </c>
      <c r="G64" s="9">
        <v>0</v>
      </c>
      <c r="H64" s="12">
        <v>6</v>
      </c>
      <c r="I64" s="12">
        <f>Report_2026_Q1[[#This Row],[withdrawls villa ]]*Report_2026_Q1[[#This Row],[cost by unit ]]</f>
        <v>1170</v>
      </c>
      <c r="J64" s="12"/>
      <c r="K64" s="12">
        <f>Report_2026_Q1[[#This Row],[withdrawls IBN ]]*Report_2026_Q1[[#This Row],[cost by unit ]]</f>
        <v>0</v>
      </c>
      <c r="L64" s="55">
        <v>195</v>
      </c>
      <c r="M64" s="13">
        <f>Report_2026_Q1[[#This Row],[cost villa ]]+Report_2026_Q1[[#This Row],[IBN cost ]]</f>
        <v>1170</v>
      </c>
      <c r="N64" s="12">
        <f>Report_2026_Q1[[#This Row],[3 monthes  ORDER ]]*Report_2026_Q1[[#This Row],[cost by unit ]]</f>
        <v>1170</v>
      </c>
      <c r="O64" s="14"/>
      <c r="P64" s="14"/>
      <c r="Q64" s="49">
        <f>Report_2026_Q1[[#This Row],[withdrawls villa ]]+Report_2026_Q1[[#This Row],[withdrawls IBN ]]</f>
        <v>6</v>
      </c>
      <c r="S64" s="49">
        <f>Report_2026_Q1[[#This Row],[3 monthes  ORDER ]]-Q64</f>
        <v>0</v>
      </c>
    </row>
    <row r="65" spans="1:19" s="15" customFormat="1" ht="15.6">
      <c r="A65" s="8"/>
      <c r="B65" s="9">
        <v>64</v>
      </c>
      <c r="C65" s="32" t="s">
        <v>83</v>
      </c>
      <c r="D65" s="32" t="s">
        <v>11</v>
      </c>
      <c r="E65" s="10">
        <v>6</v>
      </c>
      <c r="F65" s="36" t="s">
        <v>63</v>
      </c>
      <c r="G65" s="9">
        <v>0</v>
      </c>
      <c r="H65" s="12">
        <v>2</v>
      </c>
      <c r="I65" s="12">
        <f>Report_2026_Q1[[#This Row],[withdrawls villa ]]*Report_2026_Q1[[#This Row],[cost by unit ]]</f>
        <v>22</v>
      </c>
      <c r="J65" s="12"/>
      <c r="K65" s="12">
        <f>Report_2026_Q1[[#This Row],[withdrawls IBN ]]*Report_2026_Q1[[#This Row],[cost by unit ]]</f>
        <v>0</v>
      </c>
      <c r="L65" s="55">
        <v>11</v>
      </c>
      <c r="M65" s="13">
        <f>Report_2026_Q1[[#This Row],[cost villa ]]+Report_2026_Q1[[#This Row],[IBN cost ]]</f>
        <v>22</v>
      </c>
      <c r="N65" s="12">
        <f>Report_2026_Q1[[#This Row],[3 monthes  ORDER ]]*Report_2026_Q1[[#This Row],[cost by unit ]]</f>
        <v>66</v>
      </c>
      <c r="O65" s="14"/>
      <c r="P65" s="14"/>
      <c r="Q65" s="49">
        <f>Report_2026_Q1[[#This Row],[withdrawls villa ]]+Report_2026_Q1[[#This Row],[withdrawls IBN ]]</f>
        <v>2</v>
      </c>
      <c r="S65" s="49">
        <f>Report_2026_Q1[[#This Row],[3 monthes  ORDER ]]-Q65</f>
        <v>4</v>
      </c>
    </row>
    <row r="66" spans="1:19" s="15" customFormat="1" ht="15.6">
      <c r="A66" s="8"/>
      <c r="B66" s="9">
        <v>65</v>
      </c>
      <c r="C66" s="32" t="s">
        <v>84</v>
      </c>
      <c r="D66" s="22" t="s">
        <v>28</v>
      </c>
      <c r="E66" s="10">
        <v>3</v>
      </c>
      <c r="F66" s="36" t="s">
        <v>63</v>
      </c>
      <c r="G66" s="9">
        <v>0</v>
      </c>
      <c r="H66" s="12">
        <v>1</v>
      </c>
      <c r="I66" s="12">
        <f>Report_2026_Q1[[#This Row],[withdrawls villa ]]*Report_2026_Q1[[#This Row],[cost by unit ]]</f>
        <v>50</v>
      </c>
      <c r="J66" s="12">
        <v>1</v>
      </c>
      <c r="K66" s="12">
        <f>Report_2026_Q1[[#This Row],[withdrawls IBN ]]*Report_2026_Q1[[#This Row],[cost by unit ]]</f>
        <v>50</v>
      </c>
      <c r="L66" s="55">
        <v>50</v>
      </c>
      <c r="M66" s="13">
        <f>Report_2026_Q1[[#This Row],[cost villa ]]+Report_2026_Q1[[#This Row],[IBN cost ]]</f>
        <v>100</v>
      </c>
      <c r="N66" s="12">
        <f>Report_2026_Q1[[#This Row],[3 monthes  ORDER ]]*Report_2026_Q1[[#This Row],[cost by unit ]]</f>
        <v>150</v>
      </c>
      <c r="O66" s="14"/>
      <c r="P66" s="14"/>
      <c r="Q66" s="49">
        <f>Report_2026_Q1[[#This Row],[withdrawls villa ]]+Report_2026_Q1[[#This Row],[withdrawls IBN ]]</f>
        <v>2</v>
      </c>
      <c r="S66" s="49">
        <f>Report_2026_Q1[[#This Row],[3 monthes  ORDER ]]-Q66</f>
        <v>1</v>
      </c>
    </row>
    <row r="67" spans="1:19" s="15" customFormat="1" ht="15.6">
      <c r="A67" s="8"/>
      <c r="B67" s="9">
        <v>66</v>
      </c>
      <c r="C67" s="32" t="s">
        <v>85</v>
      </c>
      <c r="D67" s="32" t="s">
        <v>11</v>
      </c>
      <c r="E67" s="10">
        <v>15</v>
      </c>
      <c r="F67" s="36" t="s">
        <v>63</v>
      </c>
      <c r="G67" s="9">
        <v>0</v>
      </c>
      <c r="H67" s="12">
        <v>12</v>
      </c>
      <c r="I67" s="12">
        <f>Report_2026_Q1[[#This Row],[withdrawls villa ]]*Report_2026_Q1[[#This Row],[cost by unit ]]</f>
        <v>108</v>
      </c>
      <c r="J67" s="12"/>
      <c r="K67" s="12">
        <f>Report_2026_Q1[[#This Row],[withdrawls IBN ]]*Report_2026_Q1[[#This Row],[cost by unit ]]</f>
        <v>0</v>
      </c>
      <c r="L67" s="55">
        <v>9</v>
      </c>
      <c r="M67" s="13">
        <f>Report_2026_Q1[[#This Row],[cost villa ]]+Report_2026_Q1[[#This Row],[IBN cost ]]</f>
        <v>108</v>
      </c>
      <c r="N67" s="12">
        <f>Report_2026_Q1[[#This Row],[3 monthes  ORDER ]]*Report_2026_Q1[[#This Row],[cost by unit ]]</f>
        <v>135</v>
      </c>
      <c r="O67" s="14"/>
      <c r="P67" s="14"/>
      <c r="Q67" s="49">
        <f>Report_2026_Q1[[#This Row],[withdrawls villa ]]+Report_2026_Q1[[#This Row],[withdrawls IBN ]]</f>
        <v>12</v>
      </c>
      <c r="S67" s="49">
        <f>Report_2026_Q1[[#This Row],[3 monthes  ORDER ]]-Q67</f>
        <v>3</v>
      </c>
    </row>
    <row r="68" spans="1:19" s="15" customFormat="1" ht="15.6">
      <c r="A68" s="8"/>
      <c r="B68" s="9">
        <v>67</v>
      </c>
      <c r="C68" s="32" t="s">
        <v>86</v>
      </c>
      <c r="D68" s="32" t="s">
        <v>14</v>
      </c>
      <c r="E68" s="10">
        <v>200</v>
      </c>
      <c r="F68" s="36" t="s">
        <v>63</v>
      </c>
      <c r="G68" s="9">
        <v>0</v>
      </c>
      <c r="H68" s="12">
        <v>80</v>
      </c>
      <c r="I68" s="12">
        <f>Report_2026_Q1[[#This Row],[withdrawls villa ]]*Report_2026_Q1[[#This Row],[cost by unit ]]</f>
        <v>320</v>
      </c>
      <c r="J68" s="12">
        <v>60</v>
      </c>
      <c r="K68" s="12">
        <f>Report_2026_Q1[[#This Row],[withdrawls IBN ]]*Report_2026_Q1[[#This Row],[cost by unit ]]</f>
        <v>240</v>
      </c>
      <c r="L68" s="55">
        <v>4</v>
      </c>
      <c r="M68" s="13">
        <f>Report_2026_Q1[[#This Row],[cost villa ]]+Report_2026_Q1[[#This Row],[IBN cost ]]</f>
        <v>560</v>
      </c>
      <c r="N68" s="12">
        <f>Report_2026_Q1[[#This Row],[3 monthes  ORDER ]]*Report_2026_Q1[[#This Row],[cost by unit ]]</f>
        <v>800</v>
      </c>
      <c r="O68" s="14"/>
      <c r="P68" s="14"/>
      <c r="Q68" s="49">
        <f>Report_2026_Q1[[#This Row],[withdrawls villa ]]+Report_2026_Q1[[#This Row],[withdrawls IBN ]]</f>
        <v>140</v>
      </c>
      <c r="S68" s="49">
        <f>Report_2026_Q1[[#This Row],[3 monthes  ORDER ]]-Q68</f>
        <v>60</v>
      </c>
    </row>
    <row r="69" spans="1:19" s="15" customFormat="1" ht="15.6">
      <c r="A69" s="8"/>
      <c r="B69" s="9">
        <v>68</v>
      </c>
      <c r="C69" s="32" t="s">
        <v>87</v>
      </c>
      <c r="D69" s="22" t="s">
        <v>28</v>
      </c>
      <c r="E69" s="10">
        <v>12</v>
      </c>
      <c r="F69" s="36" t="s">
        <v>63</v>
      </c>
      <c r="G69" s="9">
        <v>0</v>
      </c>
      <c r="H69" s="12">
        <v>7</v>
      </c>
      <c r="I69" s="12">
        <f>Report_2026_Q1[[#This Row],[withdrawls villa ]]*Report_2026_Q1[[#This Row],[cost by unit ]]</f>
        <v>483</v>
      </c>
      <c r="J69" s="12">
        <v>5</v>
      </c>
      <c r="K69" s="12">
        <f>Report_2026_Q1[[#This Row],[withdrawls IBN ]]*Report_2026_Q1[[#This Row],[cost by unit ]]</f>
        <v>345</v>
      </c>
      <c r="L69" s="55">
        <v>69</v>
      </c>
      <c r="M69" s="13">
        <f>Report_2026_Q1[[#This Row],[cost villa ]]+Report_2026_Q1[[#This Row],[IBN cost ]]</f>
        <v>828</v>
      </c>
      <c r="N69" s="12">
        <f>Report_2026_Q1[[#This Row],[3 monthes  ORDER ]]*Report_2026_Q1[[#This Row],[cost by unit ]]</f>
        <v>828</v>
      </c>
      <c r="O69" s="14"/>
      <c r="P69" s="14"/>
      <c r="Q69" s="49">
        <f>Report_2026_Q1[[#This Row],[withdrawls villa ]]+Report_2026_Q1[[#This Row],[withdrawls IBN ]]</f>
        <v>12</v>
      </c>
      <c r="S69" s="49">
        <f>Report_2026_Q1[[#This Row],[3 monthes  ORDER ]]-Q69</f>
        <v>0</v>
      </c>
    </row>
    <row r="70" spans="1:19" s="15" customFormat="1" ht="15.6">
      <c r="A70" s="8"/>
      <c r="B70" s="9">
        <v>69</v>
      </c>
      <c r="C70" s="37" t="s">
        <v>88</v>
      </c>
      <c r="D70" s="32" t="s">
        <v>11</v>
      </c>
      <c r="E70" s="10">
        <v>80</v>
      </c>
      <c r="F70" s="36" t="s">
        <v>63</v>
      </c>
      <c r="G70" s="9">
        <v>0</v>
      </c>
      <c r="H70" s="12">
        <v>40</v>
      </c>
      <c r="I70" s="12">
        <f>Report_2026_Q1[[#This Row],[withdrawls villa ]]*Report_2026_Q1[[#This Row],[cost by unit ]]</f>
        <v>240</v>
      </c>
      <c r="J70" s="12">
        <v>30</v>
      </c>
      <c r="K70" s="12">
        <f>Report_2026_Q1[[#This Row],[withdrawls IBN ]]*Report_2026_Q1[[#This Row],[cost by unit ]]</f>
        <v>180</v>
      </c>
      <c r="L70" s="55">
        <v>6</v>
      </c>
      <c r="M70" s="13">
        <f>Report_2026_Q1[[#This Row],[cost villa ]]+Report_2026_Q1[[#This Row],[IBN cost ]]</f>
        <v>420</v>
      </c>
      <c r="N70" s="12">
        <f>Report_2026_Q1[[#This Row],[3 monthes  ORDER ]]*Report_2026_Q1[[#This Row],[cost by unit ]]</f>
        <v>480</v>
      </c>
      <c r="O70" s="14"/>
      <c r="P70" s="14"/>
      <c r="Q70" s="49">
        <f>Report_2026_Q1[[#This Row],[withdrawls villa ]]+Report_2026_Q1[[#This Row],[withdrawls IBN ]]</f>
        <v>70</v>
      </c>
      <c r="S70" s="49">
        <f>Report_2026_Q1[[#This Row],[3 monthes  ORDER ]]-Q70</f>
        <v>10</v>
      </c>
    </row>
    <row r="71" spans="1:19" s="15" customFormat="1" ht="15.6">
      <c r="A71" s="8"/>
      <c r="B71" s="9">
        <v>70</v>
      </c>
      <c r="C71" s="37" t="s">
        <v>89</v>
      </c>
      <c r="D71" s="22" t="s">
        <v>28</v>
      </c>
      <c r="E71" s="10">
        <v>4</v>
      </c>
      <c r="F71" s="36" t="s">
        <v>63</v>
      </c>
      <c r="G71" s="9">
        <v>0</v>
      </c>
      <c r="H71" s="12">
        <v>3</v>
      </c>
      <c r="I71" s="12">
        <f>Report_2026_Q1[[#This Row],[withdrawls villa ]]*Report_2026_Q1[[#This Row],[cost by unit ]]</f>
        <v>180</v>
      </c>
      <c r="J71" s="12">
        <v>1</v>
      </c>
      <c r="K71" s="12">
        <f>Report_2026_Q1[[#This Row],[withdrawls IBN ]]*Report_2026_Q1[[#This Row],[cost by unit ]]</f>
        <v>60</v>
      </c>
      <c r="L71" s="55">
        <v>60</v>
      </c>
      <c r="M71" s="13">
        <f>Report_2026_Q1[[#This Row],[cost villa ]]+Report_2026_Q1[[#This Row],[IBN cost ]]</f>
        <v>240</v>
      </c>
      <c r="N71" s="12">
        <f>Report_2026_Q1[[#This Row],[3 monthes  ORDER ]]*Report_2026_Q1[[#This Row],[cost by unit ]]</f>
        <v>240</v>
      </c>
      <c r="O71" s="14"/>
      <c r="P71" s="14"/>
      <c r="Q71" s="49">
        <f>Report_2026_Q1[[#This Row],[withdrawls villa ]]+Report_2026_Q1[[#This Row],[withdrawls IBN ]]</f>
        <v>4</v>
      </c>
      <c r="S71" s="49">
        <f>Report_2026_Q1[[#This Row],[3 monthes  ORDER ]]-Q71</f>
        <v>0</v>
      </c>
    </row>
    <row r="72" spans="1:19" s="15" customFormat="1" ht="15.6">
      <c r="A72" s="8"/>
      <c r="B72" s="9">
        <v>71</v>
      </c>
      <c r="C72" s="37" t="s">
        <v>90</v>
      </c>
      <c r="D72" s="22" t="s">
        <v>28</v>
      </c>
      <c r="E72" s="10">
        <v>5</v>
      </c>
      <c r="F72" s="36" t="s">
        <v>63</v>
      </c>
      <c r="G72" s="9">
        <v>0</v>
      </c>
      <c r="H72" s="12">
        <v>5</v>
      </c>
      <c r="I72" s="12">
        <f>Report_2026_Q1[[#This Row],[withdrawls villa ]]*Report_2026_Q1[[#This Row],[cost by unit ]]</f>
        <v>540</v>
      </c>
      <c r="J72" s="12"/>
      <c r="K72" s="12">
        <f>Report_2026_Q1[[#This Row],[withdrawls IBN ]]*Report_2026_Q1[[#This Row],[cost by unit ]]</f>
        <v>0</v>
      </c>
      <c r="L72" s="55">
        <v>108</v>
      </c>
      <c r="M72" s="13">
        <f>Report_2026_Q1[[#This Row],[cost villa ]]+Report_2026_Q1[[#This Row],[IBN cost ]]</f>
        <v>540</v>
      </c>
      <c r="N72" s="12">
        <f>Report_2026_Q1[[#This Row],[3 monthes  ORDER ]]*Report_2026_Q1[[#This Row],[cost by unit ]]</f>
        <v>540</v>
      </c>
      <c r="O72" s="14"/>
      <c r="P72" s="14"/>
      <c r="Q72" s="49">
        <f>Report_2026_Q1[[#This Row],[withdrawls villa ]]+Report_2026_Q1[[#This Row],[withdrawls IBN ]]</f>
        <v>5</v>
      </c>
      <c r="S72" s="49">
        <f>Report_2026_Q1[[#This Row],[3 monthes  ORDER ]]-Q72</f>
        <v>0</v>
      </c>
    </row>
    <row r="73" spans="1:19" s="15" customFormat="1" ht="15.6">
      <c r="A73" s="8"/>
      <c r="B73" s="9">
        <v>72</v>
      </c>
      <c r="C73" s="37" t="s">
        <v>91</v>
      </c>
      <c r="D73" s="22" t="s">
        <v>28</v>
      </c>
      <c r="E73" s="10">
        <v>1</v>
      </c>
      <c r="F73" s="36" t="s">
        <v>63</v>
      </c>
      <c r="G73" s="9">
        <v>0</v>
      </c>
      <c r="H73" s="12">
        <v>1</v>
      </c>
      <c r="I73" s="12">
        <f>Report_2026_Q1[[#This Row],[withdrawls villa ]]*Report_2026_Q1[[#This Row],[cost by unit ]]</f>
        <v>80</v>
      </c>
      <c r="J73" s="12">
        <v>0.4</v>
      </c>
      <c r="K73" s="12">
        <f>Report_2026_Q1[[#This Row],[withdrawls IBN ]]*Report_2026_Q1[[#This Row],[cost by unit ]]</f>
        <v>32</v>
      </c>
      <c r="L73" s="55">
        <v>80</v>
      </c>
      <c r="M73" s="13">
        <f>Report_2026_Q1[[#This Row],[cost villa ]]+Report_2026_Q1[[#This Row],[IBN cost ]]</f>
        <v>112</v>
      </c>
      <c r="N73" s="12">
        <f>Report_2026_Q1[[#This Row],[3 monthes  ORDER ]]*Report_2026_Q1[[#This Row],[cost by unit ]]</f>
        <v>80</v>
      </c>
      <c r="O73" s="14"/>
      <c r="P73" s="14"/>
      <c r="Q73" s="49">
        <f>Report_2026_Q1[[#This Row],[withdrawls villa ]]+Report_2026_Q1[[#This Row],[withdrawls IBN ]]</f>
        <v>1.4</v>
      </c>
      <c r="S73" s="49">
        <f>Report_2026_Q1[[#This Row],[3 monthes  ORDER ]]-Q73</f>
        <v>-0.39999999999999991</v>
      </c>
    </row>
    <row r="74" spans="1:19" s="15" customFormat="1" ht="15.6">
      <c r="A74" s="8"/>
      <c r="B74" s="9">
        <v>73</v>
      </c>
      <c r="C74" s="32" t="s">
        <v>92</v>
      </c>
      <c r="D74" s="32" t="s">
        <v>11</v>
      </c>
      <c r="E74" s="10">
        <v>6</v>
      </c>
      <c r="F74" s="36" t="s">
        <v>63</v>
      </c>
      <c r="G74" s="9">
        <v>0</v>
      </c>
      <c r="H74" s="12">
        <v>2</v>
      </c>
      <c r="I74" s="12">
        <f>Report_2026_Q1[[#This Row],[withdrawls villa ]]*Report_2026_Q1[[#This Row],[cost by unit ]]</f>
        <v>18</v>
      </c>
      <c r="J74" s="12">
        <v>3</v>
      </c>
      <c r="K74" s="12">
        <f>Report_2026_Q1[[#This Row],[withdrawls IBN ]]*Report_2026_Q1[[#This Row],[cost by unit ]]</f>
        <v>27</v>
      </c>
      <c r="L74" s="55">
        <v>9</v>
      </c>
      <c r="M74" s="13">
        <f>Report_2026_Q1[[#This Row],[cost villa ]]+Report_2026_Q1[[#This Row],[IBN cost ]]</f>
        <v>45</v>
      </c>
      <c r="N74" s="12">
        <f>Report_2026_Q1[[#This Row],[3 monthes  ORDER ]]*Report_2026_Q1[[#This Row],[cost by unit ]]</f>
        <v>54</v>
      </c>
      <c r="O74" s="14"/>
      <c r="P74" s="14"/>
      <c r="Q74" s="49">
        <f>Report_2026_Q1[[#This Row],[withdrawls villa ]]+Report_2026_Q1[[#This Row],[withdrawls IBN ]]</f>
        <v>5</v>
      </c>
      <c r="S74" s="49">
        <f>Report_2026_Q1[[#This Row],[3 monthes  ORDER ]]-Q74</f>
        <v>1</v>
      </c>
    </row>
    <row r="75" spans="1:19" s="15" customFormat="1" ht="15.6">
      <c r="A75" s="8"/>
      <c r="B75" s="9">
        <v>74</v>
      </c>
      <c r="C75" s="32" t="s">
        <v>93</v>
      </c>
      <c r="D75" s="22" t="s">
        <v>28</v>
      </c>
      <c r="E75" s="10">
        <v>15</v>
      </c>
      <c r="F75" s="36" t="s">
        <v>63</v>
      </c>
      <c r="G75" s="9">
        <v>0</v>
      </c>
      <c r="H75" s="12">
        <v>5</v>
      </c>
      <c r="I75" s="12">
        <f>Report_2026_Q1[[#This Row],[withdrawls villa ]]*Report_2026_Q1[[#This Row],[cost by unit ]]</f>
        <v>300</v>
      </c>
      <c r="J75" s="12">
        <v>4</v>
      </c>
      <c r="K75" s="12">
        <f>Report_2026_Q1[[#This Row],[withdrawls IBN ]]*Report_2026_Q1[[#This Row],[cost by unit ]]</f>
        <v>240</v>
      </c>
      <c r="L75" s="55">
        <v>60</v>
      </c>
      <c r="M75" s="13">
        <f>Report_2026_Q1[[#This Row],[cost villa ]]+Report_2026_Q1[[#This Row],[IBN cost ]]</f>
        <v>540</v>
      </c>
      <c r="N75" s="12">
        <f>Report_2026_Q1[[#This Row],[3 monthes  ORDER ]]*Report_2026_Q1[[#This Row],[cost by unit ]]</f>
        <v>900</v>
      </c>
      <c r="O75" s="14"/>
      <c r="P75" s="14"/>
      <c r="Q75" s="49">
        <f>Report_2026_Q1[[#This Row],[withdrawls villa ]]+Report_2026_Q1[[#This Row],[withdrawls IBN ]]</f>
        <v>9</v>
      </c>
      <c r="S75" s="49">
        <f>Report_2026_Q1[[#This Row],[3 monthes  ORDER ]]-Q75</f>
        <v>6</v>
      </c>
    </row>
    <row r="76" spans="1:19" s="15" customFormat="1" ht="15.6">
      <c r="A76" s="8"/>
      <c r="B76" s="9">
        <v>75</v>
      </c>
      <c r="C76" s="32" t="s">
        <v>94</v>
      </c>
      <c r="D76" s="22" t="s">
        <v>28</v>
      </c>
      <c r="E76" s="10">
        <v>2</v>
      </c>
      <c r="F76" s="36" t="s">
        <v>63</v>
      </c>
      <c r="G76" s="9">
        <v>0</v>
      </c>
      <c r="H76" s="12">
        <v>1</v>
      </c>
      <c r="I76" s="12">
        <f>Report_2026_Q1[[#This Row],[withdrawls villa ]]*Report_2026_Q1[[#This Row],[cost by unit ]]</f>
        <v>72</v>
      </c>
      <c r="J76" s="12">
        <v>1</v>
      </c>
      <c r="K76" s="12">
        <f>Report_2026_Q1[[#This Row],[withdrawls IBN ]]*Report_2026_Q1[[#This Row],[cost by unit ]]</f>
        <v>72</v>
      </c>
      <c r="L76" s="55">
        <v>72</v>
      </c>
      <c r="M76" s="13">
        <f>Report_2026_Q1[[#This Row],[cost villa ]]+Report_2026_Q1[[#This Row],[IBN cost ]]</f>
        <v>144</v>
      </c>
      <c r="N76" s="12">
        <f>Report_2026_Q1[[#This Row],[3 monthes  ORDER ]]*Report_2026_Q1[[#This Row],[cost by unit ]]</f>
        <v>144</v>
      </c>
      <c r="O76" s="14"/>
      <c r="P76" s="14"/>
      <c r="Q76" s="49">
        <f>Report_2026_Q1[[#This Row],[withdrawls villa ]]+Report_2026_Q1[[#This Row],[withdrawls IBN ]]</f>
        <v>2</v>
      </c>
      <c r="S76" s="49">
        <f>Report_2026_Q1[[#This Row],[3 monthes  ORDER ]]-Q76</f>
        <v>0</v>
      </c>
    </row>
    <row r="77" spans="1:19" s="6" customFormat="1" ht="15.6">
      <c r="A77" s="8"/>
      <c r="B77" s="9">
        <v>76</v>
      </c>
      <c r="C77" s="38" t="s">
        <v>95</v>
      </c>
      <c r="D77" s="22" t="s">
        <v>11</v>
      </c>
      <c r="E77" s="10">
        <v>10000</v>
      </c>
      <c r="F77" s="36" t="s">
        <v>63</v>
      </c>
      <c r="G77" s="9">
        <v>0</v>
      </c>
      <c r="H77" s="12">
        <v>3000</v>
      </c>
      <c r="I77" s="12">
        <f>Report_2026_Q1[[#This Row],[withdrawls villa ]]*Report_2026_Q1[[#This Row],[cost by unit ]]</f>
        <v>930</v>
      </c>
      <c r="J77" s="12">
        <v>1000</v>
      </c>
      <c r="K77" s="12">
        <f>Report_2026_Q1[[#This Row],[withdrawls IBN ]]*Report_2026_Q1[[#This Row],[cost by unit ]]</f>
        <v>310</v>
      </c>
      <c r="L77" s="54">
        <v>0.31</v>
      </c>
      <c r="M77" s="13">
        <f>Report_2026_Q1[[#This Row],[cost villa ]]+Report_2026_Q1[[#This Row],[IBN cost ]]</f>
        <v>1240</v>
      </c>
      <c r="N77" s="24">
        <f>Report_2026_Q1[[#This Row],[3 monthes  ORDER ]]*Report_2026_Q1[[#This Row],[cost by unit ]]</f>
        <v>3100</v>
      </c>
      <c r="O77" s="5"/>
      <c r="P77" s="5"/>
      <c r="Q77" s="49">
        <f>Report_2026_Q1[[#This Row],[withdrawls villa ]]+Report_2026_Q1[[#This Row],[withdrawls IBN ]]</f>
        <v>4000</v>
      </c>
      <c r="S77" s="49">
        <f>Report_2026_Q1[[#This Row],[3 monthes  ORDER ]]-Q77</f>
        <v>6000</v>
      </c>
    </row>
    <row r="78" spans="1:19" s="6" customFormat="1" ht="15.6">
      <c r="A78" s="8"/>
      <c r="B78" s="9">
        <v>77</v>
      </c>
      <c r="C78" s="38" t="s">
        <v>96</v>
      </c>
      <c r="D78" s="22" t="s">
        <v>11</v>
      </c>
      <c r="E78" s="10">
        <v>0</v>
      </c>
      <c r="F78" s="36" t="s">
        <v>63</v>
      </c>
      <c r="G78" s="9">
        <v>0</v>
      </c>
      <c r="H78" s="12">
        <v>0</v>
      </c>
      <c r="I78" s="12">
        <f>Report_2026_Q1[[#This Row],[withdrawls villa ]]*Report_2026_Q1[[#This Row],[cost by unit ]]</f>
        <v>0</v>
      </c>
      <c r="J78" s="12">
        <v>0</v>
      </c>
      <c r="K78" s="12">
        <f>Report_2026_Q1[[#This Row],[withdrawls IBN ]]*Report_2026_Q1[[#This Row],[cost by unit ]]</f>
        <v>0</v>
      </c>
      <c r="L78" s="54">
        <v>0.6</v>
      </c>
      <c r="M78" s="13">
        <f>Report_2026_Q1[[#This Row],[cost villa ]]+Report_2026_Q1[[#This Row],[IBN cost ]]</f>
        <v>0</v>
      </c>
      <c r="N78" s="12">
        <f>Report_2026_Q1[[#This Row],[3 monthes  ORDER ]]*Report_2026_Q1[[#This Row],[cost by unit ]]</f>
        <v>0</v>
      </c>
      <c r="O78" s="5"/>
      <c r="P78" s="5"/>
      <c r="Q78" s="49">
        <f>Report_2026_Q1[[#This Row],[withdrawls villa ]]+Report_2026_Q1[[#This Row],[withdrawls IBN ]]</f>
        <v>0</v>
      </c>
      <c r="S78" s="49">
        <f>Report_2026_Q1[[#This Row],[3 monthes  ORDER ]]-Q78</f>
        <v>0</v>
      </c>
    </row>
    <row r="79" spans="1:19" s="6" customFormat="1" ht="15.6">
      <c r="A79" s="8"/>
      <c r="B79" s="9">
        <v>78</v>
      </c>
      <c r="C79" s="38" t="s">
        <v>97</v>
      </c>
      <c r="D79" s="22" t="s">
        <v>11</v>
      </c>
      <c r="E79" s="10">
        <v>0</v>
      </c>
      <c r="F79" s="36" t="s">
        <v>63</v>
      </c>
      <c r="G79" s="9">
        <v>0</v>
      </c>
      <c r="H79" s="12">
        <v>0</v>
      </c>
      <c r="I79" s="12">
        <f>Report_2026_Q1[[#This Row],[withdrawls villa ]]*Report_2026_Q1[[#This Row],[cost by unit ]]</f>
        <v>0</v>
      </c>
      <c r="J79" s="12">
        <v>0</v>
      </c>
      <c r="K79" s="12">
        <f>Report_2026_Q1[[#This Row],[withdrawls IBN ]]*Report_2026_Q1[[#This Row],[cost by unit ]]</f>
        <v>0</v>
      </c>
      <c r="L79" s="54">
        <v>0.45</v>
      </c>
      <c r="M79" s="13">
        <f>Report_2026_Q1[[#This Row],[cost villa ]]+Report_2026_Q1[[#This Row],[IBN cost ]]</f>
        <v>0</v>
      </c>
      <c r="N79" s="12">
        <f>Report_2026_Q1[[#This Row],[3 monthes  ORDER ]]*Report_2026_Q1[[#This Row],[cost by unit ]]</f>
        <v>0</v>
      </c>
      <c r="O79" s="5"/>
      <c r="P79" s="5"/>
      <c r="Q79" s="49">
        <f>Report_2026_Q1[[#This Row],[withdrawls villa ]]+Report_2026_Q1[[#This Row],[withdrawls IBN ]]</f>
        <v>0</v>
      </c>
      <c r="S79" s="49">
        <f>Report_2026_Q1[[#This Row],[3 monthes  ORDER ]]-Q79</f>
        <v>0</v>
      </c>
    </row>
    <row r="80" spans="1:19" s="6" customFormat="1" ht="15.6">
      <c r="A80" s="8"/>
      <c r="B80" s="9">
        <v>79</v>
      </c>
      <c r="C80" s="25" t="s">
        <v>98</v>
      </c>
      <c r="D80" s="22" t="s">
        <v>11</v>
      </c>
      <c r="E80" s="10">
        <v>0</v>
      </c>
      <c r="F80" s="36" t="s">
        <v>63</v>
      </c>
      <c r="G80" s="9">
        <v>0</v>
      </c>
      <c r="H80" s="12">
        <v>0</v>
      </c>
      <c r="I80" s="12">
        <f>Report_2026_Q1[[#This Row],[withdrawls villa ]]*Report_2026_Q1[[#This Row],[cost by unit ]]</f>
        <v>0</v>
      </c>
      <c r="J80" s="12"/>
      <c r="K80" s="12">
        <f>Report_2026_Q1[[#This Row],[withdrawls IBN ]]*Report_2026_Q1[[#This Row],[cost by unit ]]</f>
        <v>0</v>
      </c>
      <c r="L80" s="54">
        <v>0.7</v>
      </c>
      <c r="M80" s="13">
        <f>Report_2026_Q1[[#This Row],[cost villa ]]+Report_2026_Q1[[#This Row],[IBN cost ]]</f>
        <v>0</v>
      </c>
      <c r="N80" s="12">
        <f>Report_2026_Q1[[#This Row],[3 monthes  ORDER ]]*Report_2026_Q1[[#This Row],[cost by unit ]]</f>
        <v>0</v>
      </c>
      <c r="O80" s="5"/>
      <c r="P80" s="5"/>
      <c r="Q80" s="49">
        <f>Report_2026_Q1[[#This Row],[withdrawls villa ]]+Report_2026_Q1[[#This Row],[withdrawls IBN ]]</f>
        <v>0</v>
      </c>
      <c r="S80" s="49">
        <f>Report_2026_Q1[[#This Row],[3 monthes  ORDER ]]-Q80</f>
        <v>0</v>
      </c>
    </row>
    <row r="81" spans="1:19" s="15" customFormat="1" ht="15.6">
      <c r="A81" s="8"/>
      <c r="B81" s="9">
        <v>80</v>
      </c>
      <c r="C81" s="32" t="s">
        <v>99</v>
      </c>
      <c r="D81" s="32" t="s">
        <v>11</v>
      </c>
      <c r="E81" s="10">
        <v>3</v>
      </c>
      <c r="F81" s="36" t="s">
        <v>63</v>
      </c>
      <c r="G81" s="9">
        <v>0</v>
      </c>
      <c r="H81" s="12">
        <v>1</v>
      </c>
      <c r="I81" s="12">
        <f>Report_2026_Q1[[#This Row],[withdrawls villa ]]*Report_2026_Q1[[#This Row],[cost by unit ]]</f>
        <v>15</v>
      </c>
      <c r="J81" s="12">
        <v>1</v>
      </c>
      <c r="K81" s="12">
        <f>Report_2026_Q1[[#This Row],[withdrawls IBN ]]*Report_2026_Q1[[#This Row],[cost by unit ]]</f>
        <v>15</v>
      </c>
      <c r="L81" s="55">
        <v>15</v>
      </c>
      <c r="M81" s="13">
        <f>Report_2026_Q1[[#This Row],[cost villa ]]+Report_2026_Q1[[#This Row],[IBN cost ]]</f>
        <v>30</v>
      </c>
      <c r="N81" s="12">
        <f>Report_2026_Q1[[#This Row],[3 monthes  ORDER ]]*Report_2026_Q1[[#This Row],[cost by unit ]]</f>
        <v>45</v>
      </c>
      <c r="O81" s="14"/>
      <c r="P81" s="14"/>
      <c r="Q81" s="49">
        <f>Report_2026_Q1[[#This Row],[withdrawls villa ]]+Report_2026_Q1[[#This Row],[withdrawls IBN ]]</f>
        <v>2</v>
      </c>
      <c r="S81" s="49">
        <f>Report_2026_Q1[[#This Row],[3 monthes  ORDER ]]-Q81</f>
        <v>1</v>
      </c>
    </row>
    <row r="82" spans="1:19" s="6" customFormat="1" ht="15.6">
      <c r="A82" s="16"/>
      <c r="B82" s="9">
        <v>81</v>
      </c>
      <c r="C82" s="33" t="s">
        <v>100</v>
      </c>
      <c r="D82" s="22" t="s">
        <v>16</v>
      </c>
      <c r="E82" s="10">
        <v>20</v>
      </c>
      <c r="F82" s="18"/>
      <c r="G82" s="9">
        <v>0</v>
      </c>
      <c r="H82" s="12">
        <v>15</v>
      </c>
      <c r="I82" s="12">
        <f>Report_2026_Q1[[#This Row],[withdrawls villa ]]*Report_2026_Q1[[#This Row],[cost by unit ]]</f>
        <v>1260</v>
      </c>
      <c r="J82" s="19">
        <v>5</v>
      </c>
      <c r="K82" s="12">
        <f>Report_2026_Q1[[#This Row],[withdrawls IBN ]]*Report_2026_Q1[[#This Row],[cost by unit ]]</f>
        <v>420</v>
      </c>
      <c r="L82" s="56">
        <v>84</v>
      </c>
      <c r="M82" s="13">
        <f>Report_2026_Q1[[#This Row],[cost villa ]]+Report_2026_Q1[[#This Row],[IBN cost ]]</f>
        <v>1680</v>
      </c>
      <c r="N82" s="12">
        <f>Report_2026_Q1[[#This Row],[3 monthes  ORDER ]]*Report_2026_Q1[[#This Row],[cost by unit ]]</f>
        <v>1680</v>
      </c>
      <c r="O82" s="5"/>
      <c r="P82" s="5"/>
      <c r="Q82" s="49">
        <f>Report_2026_Q1[[#This Row],[withdrawls villa ]]+Report_2026_Q1[[#This Row],[withdrawls IBN ]]</f>
        <v>20</v>
      </c>
      <c r="S82" s="49">
        <f>Report_2026_Q1[[#This Row],[3 monthes  ORDER ]]-Q82</f>
        <v>0</v>
      </c>
    </row>
    <row r="83" spans="1:19" s="6" customFormat="1" ht="15.6">
      <c r="A83" s="8"/>
      <c r="B83" s="9">
        <v>82</v>
      </c>
      <c r="C83" s="26" t="s">
        <v>101</v>
      </c>
      <c r="D83" s="22" t="s">
        <v>11</v>
      </c>
      <c r="E83" s="10">
        <v>14000</v>
      </c>
      <c r="F83" s="11"/>
      <c r="G83" s="9">
        <v>0</v>
      </c>
      <c r="H83" s="12">
        <v>6430</v>
      </c>
      <c r="I83" s="12">
        <f>Report_2026_Q1[[#This Row],[withdrawls villa ]]*Report_2026_Q1[[#This Row],[cost by unit ]]</f>
        <v>4501</v>
      </c>
      <c r="J83" s="12">
        <v>1884</v>
      </c>
      <c r="K83" s="12">
        <f>Report_2026_Q1[[#This Row],[withdrawls IBN ]]*Report_2026_Q1[[#This Row],[cost by unit ]]</f>
        <v>1318.8</v>
      </c>
      <c r="L83" s="53">
        <v>0.7</v>
      </c>
      <c r="M83" s="13">
        <f>Report_2026_Q1[[#This Row],[cost villa ]]+Report_2026_Q1[[#This Row],[IBN cost ]]</f>
        <v>5819.8</v>
      </c>
      <c r="N83" s="12">
        <f>Report_2026_Q1[[#This Row],[3 monthes  ORDER ]]*Report_2026_Q1[[#This Row],[cost by unit ]]</f>
        <v>9800</v>
      </c>
      <c r="O83" s="5"/>
      <c r="P83" s="5"/>
      <c r="Q83" s="49">
        <f>Report_2026_Q1[[#This Row],[withdrawls villa ]]+Report_2026_Q1[[#This Row],[withdrawls IBN ]]</f>
        <v>8314</v>
      </c>
      <c r="S83" s="49">
        <f>Report_2026_Q1[[#This Row],[3 monthes  ORDER ]]-Q83</f>
        <v>5686</v>
      </c>
    </row>
    <row r="84" spans="1:19" s="15" customFormat="1" ht="15.6">
      <c r="A84" s="8"/>
      <c r="B84" s="9">
        <v>83</v>
      </c>
      <c r="C84" s="32" t="s">
        <v>102</v>
      </c>
      <c r="D84" s="22" t="s">
        <v>16</v>
      </c>
      <c r="E84" s="10">
        <v>12</v>
      </c>
      <c r="F84" s="11" t="s">
        <v>103</v>
      </c>
      <c r="G84" s="9">
        <v>0</v>
      </c>
      <c r="H84" s="12">
        <v>2</v>
      </c>
      <c r="I84" s="12">
        <f>Report_2026_Q1[[#This Row],[withdrawls villa ]]*Report_2026_Q1[[#This Row],[cost by unit ]]</f>
        <v>5.7</v>
      </c>
      <c r="J84" s="12">
        <v>1</v>
      </c>
      <c r="K84" s="12">
        <f>Report_2026_Q1[[#This Row],[withdrawls IBN ]]*Report_2026_Q1[[#This Row],[cost by unit ]]</f>
        <v>2.85</v>
      </c>
      <c r="L84" s="55">
        <v>2.85</v>
      </c>
      <c r="M84" s="13">
        <f>Report_2026_Q1[[#This Row],[cost villa ]]+Report_2026_Q1[[#This Row],[IBN cost ]]</f>
        <v>8.5500000000000007</v>
      </c>
      <c r="N84" s="12">
        <f>Report_2026_Q1[[#This Row],[3 monthes  ORDER ]]*Report_2026_Q1[[#This Row],[cost by unit ]]</f>
        <v>34.200000000000003</v>
      </c>
      <c r="O84" s="14"/>
      <c r="P84" s="14"/>
      <c r="Q84" s="49">
        <f>Report_2026_Q1[[#This Row],[withdrawls villa ]]+Report_2026_Q1[[#This Row],[withdrawls IBN ]]</f>
        <v>3</v>
      </c>
      <c r="S84" s="49">
        <f>Report_2026_Q1[[#This Row],[3 monthes  ORDER ]]-Q84</f>
        <v>9</v>
      </c>
    </row>
    <row r="85" spans="1:19" s="15" customFormat="1" ht="15.6">
      <c r="A85" s="8"/>
      <c r="B85" s="9">
        <v>84</v>
      </c>
      <c r="C85" s="32" t="s">
        <v>104</v>
      </c>
      <c r="D85" s="32" t="s">
        <v>11</v>
      </c>
      <c r="E85" s="10">
        <v>24</v>
      </c>
      <c r="F85" s="11" t="s">
        <v>103</v>
      </c>
      <c r="G85" s="9">
        <v>0</v>
      </c>
      <c r="H85" s="12">
        <v>3</v>
      </c>
      <c r="I85" s="12">
        <f>Report_2026_Q1[[#This Row],[withdrawls villa ]]*Report_2026_Q1[[#This Row],[cost by unit ]]</f>
        <v>4.5</v>
      </c>
      <c r="J85" s="12"/>
      <c r="K85" s="12">
        <f>Report_2026_Q1[[#This Row],[withdrawls IBN ]]*Report_2026_Q1[[#This Row],[cost by unit ]]</f>
        <v>0</v>
      </c>
      <c r="L85" s="55">
        <v>1.5</v>
      </c>
      <c r="M85" s="13">
        <f>Report_2026_Q1[[#This Row],[cost villa ]]+Report_2026_Q1[[#This Row],[IBN cost ]]</f>
        <v>4.5</v>
      </c>
      <c r="N85" s="12">
        <f>Report_2026_Q1[[#This Row],[3 monthes  ORDER ]]*Report_2026_Q1[[#This Row],[cost by unit ]]</f>
        <v>36</v>
      </c>
      <c r="O85" s="14"/>
      <c r="P85" s="14"/>
      <c r="Q85" s="49">
        <f>Report_2026_Q1[[#This Row],[withdrawls villa ]]+Report_2026_Q1[[#This Row],[withdrawls IBN ]]</f>
        <v>3</v>
      </c>
      <c r="S85" s="49">
        <f>Report_2026_Q1[[#This Row],[3 monthes  ORDER ]]-Q85</f>
        <v>21</v>
      </c>
    </row>
    <row r="86" spans="1:19" s="15" customFormat="1" ht="15.6">
      <c r="A86" s="8"/>
      <c r="B86" s="9">
        <v>85</v>
      </c>
      <c r="C86" s="32" t="s">
        <v>105</v>
      </c>
      <c r="D86" s="32" t="s">
        <v>11</v>
      </c>
      <c r="E86" s="10">
        <v>24</v>
      </c>
      <c r="F86" s="11" t="s">
        <v>103</v>
      </c>
      <c r="G86" s="9">
        <v>0</v>
      </c>
      <c r="H86" s="12">
        <v>4</v>
      </c>
      <c r="I86" s="12">
        <f>Report_2026_Q1[[#This Row],[withdrawls villa ]]*Report_2026_Q1[[#This Row],[cost by unit ]]</f>
        <v>1.92</v>
      </c>
      <c r="J86" s="12">
        <v>12</v>
      </c>
      <c r="K86" s="12">
        <f>Report_2026_Q1[[#This Row],[withdrawls IBN ]]*Report_2026_Q1[[#This Row],[cost by unit ]]</f>
        <v>5.76</v>
      </c>
      <c r="L86" s="55">
        <v>0.48</v>
      </c>
      <c r="M86" s="13">
        <f>Report_2026_Q1[[#This Row],[cost villa ]]+Report_2026_Q1[[#This Row],[IBN cost ]]</f>
        <v>7.68</v>
      </c>
      <c r="N86" s="12">
        <f>Report_2026_Q1[[#This Row],[3 monthes  ORDER ]]*Report_2026_Q1[[#This Row],[cost by unit ]]</f>
        <v>11.52</v>
      </c>
      <c r="O86" s="14"/>
      <c r="P86" s="14"/>
      <c r="Q86" s="49">
        <f>Report_2026_Q1[[#This Row],[withdrawls villa ]]+Report_2026_Q1[[#This Row],[withdrawls IBN ]]</f>
        <v>16</v>
      </c>
      <c r="S86" s="49">
        <f>Report_2026_Q1[[#This Row],[3 monthes  ORDER ]]-Q86</f>
        <v>8</v>
      </c>
    </row>
    <row r="87" spans="1:19" s="15" customFormat="1" ht="15.6">
      <c r="A87" s="8"/>
      <c r="B87" s="9">
        <v>86</v>
      </c>
      <c r="C87" s="32" t="s">
        <v>106</v>
      </c>
      <c r="D87" s="32" t="s">
        <v>11</v>
      </c>
      <c r="E87" s="10">
        <v>20</v>
      </c>
      <c r="F87" s="11" t="s">
        <v>103</v>
      </c>
      <c r="G87" s="9">
        <v>0</v>
      </c>
      <c r="H87" s="12">
        <v>3</v>
      </c>
      <c r="I87" s="12">
        <f>Report_2026_Q1[[#This Row],[withdrawls villa ]]*Report_2026_Q1[[#This Row],[cost by unit ]]</f>
        <v>6.6000000000000005</v>
      </c>
      <c r="J87" s="46">
        <v>15</v>
      </c>
      <c r="K87" s="12">
        <f>Report_2026_Q1[[#This Row],[withdrawls IBN ]]*Report_2026_Q1[[#This Row],[cost by unit ]]</f>
        <v>33</v>
      </c>
      <c r="L87" s="55">
        <v>2.2000000000000002</v>
      </c>
      <c r="M87" s="13">
        <f>Report_2026_Q1[[#This Row],[cost villa ]]+Report_2026_Q1[[#This Row],[IBN cost ]]</f>
        <v>39.6</v>
      </c>
      <c r="N87" s="12">
        <f>Report_2026_Q1[[#This Row],[3 monthes  ORDER ]]*Report_2026_Q1[[#This Row],[cost by unit ]]</f>
        <v>44</v>
      </c>
      <c r="O87" s="14"/>
      <c r="P87" s="14"/>
      <c r="Q87" s="49">
        <f>Report_2026_Q1[[#This Row],[withdrawls villa ]]+Report_2026_Q1[[#This Row],[withdrawls IBN ]]</f>
        <v>18</v>
      </c>
      <c r="S87" s="49">
        <f>Report_2026_Q1[[#This Row],[3 monthes  ORDER ]]-Q87</f>
        <v>2</v>
      </c>
    </row>
    <row r="88" spans="1:19" s="15" customFormat="1" ht="15.6">
      <c r="A88" s="8"/>
      <c r="B88" s="9">
        <v>87</v>
      </c>
      <c r="C88" s="32" t="s">
        <v>107</v>
      </c>
      <c r="D88" s="32" t="s">
        <v>11</v>
      </c>
      <c r="E88" s="10">
        <v>20</v>
      </c>
      <c r="F88" s="11" t="s">
        <v>103</v>
      </c>
      <c r="G88" s="9">
        <v>0</v>
      </c>
      <c r="H88" s="12">
        <v>2</v>
      </c>
      <c r="I88" s="12">
        <f>Report_2026_Q1[[#This Row],[withdrawls villa ]]*Report_2026_Q1[[#This Row],[cost by unit ]]</f>
        <v>14</v>
      </c>
      <c r="J88" s="12">
        <v>8</v>
      </c>
      <c r="K88" s="12">
        <f>Report_2026_Q1[[#This Row],[withdrawls IBN ]]*Report_2026_Q1[[#This Row],[cost by unit ]]</f>
        <v>56</v>
      </c>
      <c r="L88" s="55">
        <v>7</v>
      </c>
      <c r="M88" s="13">
        <f>Report_2026_Q1[[#This Row],[cost villa ]]+Report_2026_Q1[[#This Row],[IBN cost ]]</f>
        <v>70</v>
      </c>
      <c r="N88" s="12">
        <f>Report_2026_Q1[[#This Row],[3 monthes  ORDER ]]*Report_2026_Q1[[#This Row],[cost by unit ]]</f>
        <v>140</v>
      </c>
      <c r="O88" s="14"/>
      <c r="P88" s="14"/>
      <c r="Q88" s="49">
        <f>Report_2026_Q1[[#This Row],[withdrawls villa ]]+Report_2026_Q1[[#This Row],[withdrawls IBN ]]</f>
        <v>10</v>
      </c>
      <c r="S88" s="49">
        <f>Report_2026_Q1[[#This Row],[3 monthes  ORDER ]]-Q88</f>
        <v>10</v>
      </c>
    </row>
    <row r="89" spans="1:19" s="15" customFormat="1" ht="15.6">
      <c r="A89" s="8"/>
      <c r="B89" s="9">
        <v>88</v>
      </c>
      <c r="C89" s="32" t="s">
        <v>108</v>
      </c>
      <c r="D89" s="22" t="s">
        <v>16</v>
      </c>
      <c r="E89" s="10">
        <v>20</v>
      </c>
      <c r="F89" s="11" t="s">
        <v>103</v>
      </c>
      <c r="G89" s="9">
        <v>0</v>
      </c>
      <c r="H89" s="12">
        <v>3</v>
      </c>
      <c r="I89" s="12">
        <f>Report_2026_Q1[[#This Row],[withdrawls villa ]]*Report_2026_Q1[[#This Row],[cost by unit ]]</f>
        <v>42</v>
      </c>
      <c r="J89" s="12">
        <v>8</v>
      </c>
      <c r="K89" s="12">
        <f>Report_2026_Q1[[#This Row],[withdrawls IBN ]]*Report_2026_Q1[[#This Row],[cost by unit ]]</f>
        <v>112</v>
      </c>
      <c r="L89" s="55">
        <v>14</v>
      </c>
      <c r="M89" s="13">
        <f>Report_2026_Q1[[#This Row],[cost villa ]]+Report_2026_Q1[[#This Row],[IBN cost ]]</f>
        <v>154</v>
      </c>
      <c r="N89" s="12">
        <f>Report_2026_Q1[[#This Row],[3 monthes  ORDER ]]*Report_2026_Q1[[#This Row],[cost by unit ]]</f>
        <v>280</v>
      </c>
      <c r="O89" s="14"/>
      <c r="P89" s="14"/>
      <c r="Q89" s="49">
        <f>Report_2026_Q1[[#This Row],[withdrawls villa ]]+Report_2026_Q1[[#This Row],[withdrawls IBN ]]</f>
        <v>11</v>
      </c>
      <c r="S89" s="49">
        <f>Report_2026_Q1[[#This Row],[3 monthes  ORDER ]]-Q89</f>
        <v>9</v>
      </c>
    </row>
    <row r="90" spans="1:19" s="15" customFormat="1" ht="15.6">
      <c r="A90" s="8"/>
      <c r="B90" s="9">
        <v>89</v>
      </c>
      <c r="C90" s="32" t="s">
        <v>109</v>
      </c>
      <c r="D90" s="32" t="s">
        <v>11</v>
      </c>
      <c r="E90" s="10">
        <v>10</v>
      </c>
      <c r="F90" s="11" t="s">
        <v>103</v>
      </c>
      <c r="G90" s="9">
        <v>0</v>
      </c>
      <c r="H90" s="12">
        <v>1</v>
      </c>
      <c r="I90" s="12">
        <f>Report_2026_Q1[[#This Row],[withdrawls villa ]]*Report_2026_Q1[[#This Row],[cost by unit ]]</f>
        <v>1.5</v>
      </c>
      <c r="J90" s="12">
        <v>8</v>
      </c>
      <c r="K90" s="12">
        <f>Report_2026_Q1[[#This Row],[withdrawls IBN ]]*Report_2026_Q1[[#This Row],[cost by unit ]]</f>
        <v>12</v>
      </c>
      <c r="L90" s="55">
        <v>1.5</v>
      </c>
      <c r="M90" s="13">
        <f>Report_2026_Q1[[#This Row],[cost villa ]]+Report_2026_Q1[[#This Row],[IBN cost ]]</f>
        <v>13.5</v>
      </c>
      <c r="N90" s="12">
        <f>Report_2026_Q1[[#This Row],[3 monthes  ORDER ]]*Report_2026_Q1[[#This Row],[cost by unit ]]</f>
        <v>15</v>
      </c>
      <c r="O90" s="14"/>
      <c r="P90" s="14"/>
      <c r="Q90" s="49">
        <f>Report_2026_Q1[[#This Row],[withdrawls villa ]]+Report_2026_Q1[[#This Row],[withdrawls IBN ]]</f>
        <v>9</v>
      </c>
      <c r="S90" s="49">
        <f>Report_2026_Q1[[#This Row],[3 monthes  ORDER ]]-Q90</f>
        <v>1</v>
      </c>
    </row>
    <row r="91" spans="1:19" s="15" customFormat="1" ht="15.6">
      <c r="A91" s="8"/>
      <c r="B91" s="9">
        <v>90</v>
      </c>
      <c r="C91" s="32" t="s">
        <v>110</v>
      </c>
      <c r="D91" s="32" t="s">
        <v>11</v>
      </c>
      <c r="E91" s="10">
        <v>12</v>
      </c>
      <c r="F91" s="11" t="s">
        <v>103</v>
      </c>
      <c r="G91" s="9">
        <v>0</v>
      </c>
      <c r="H91" s="12">
        <v>0</v>
      </c>
      <c r="I91" s="12">
        <f>Report_2026_Q1[[#This Row],[withdrawls villa ]]*Report_2026_Q1[[#This Row],[cost by unit ]]</f>
        <v>0</v>
      </c>
      <c r="J91" s="12">
        <v>3</v>
      </c>
      <c r="K91" s="12">
        <f>Report_2026_Q1[[#This Row],[withdrawls IBN ]]*Report_2026_Q1[[#This Row],[cost by unit ]]</f>
        <v>78</v>
      </c>
      <c r="L91" s="55">
        <v>26</v>
      </c>
      <c r="M91" s="13">
        <f>Report_2026_Q1[[#This Row],[cost villa ]]+Report_2026_Q1[[#This Row],[IBN cost ]]</f>
        <v>78</v>
      </c>
      <c r="N91" s="12">
        <f>Report_2026_Q1[[#This Row],[3 monthes  ORDER ]]*Report_2026_Q1[[#This Row],[cost by unit ]]</f>
        <v>312</v>
      </c>
      <c r="O91" s="14"/>
      <c r="P91" s="14"/>
      <c r="Q91" s="49">
        <f>Report_2026_Q1[[#This Row],[withdrawls villa ]]+Report_2026_Q1[[#This Row],[withdrawls IBN ]]</f>
        <v>3</v>
      </c>
      <c r="S91" s="49">
        <f>Report_2026_Q1[[#This Row],[3 monthes  ORDER ]]-Q91</f>
        <v>9</v>
      </c>
    </row>
    <row r="92" spans="1:19" s="15" customFormat="1" ht="15.6">
      <c r="A92" s="8"/>
      <c r="B92" s="9">
        <v>91</v>
      </c>
      <c r="C92" s="32" t="s">
        <v>111</v>
      </c>
      <c r="D92" s="22" t="s">
        <v>16</v>
      </c>
      <c r="E92" s="10">
        <v>4</v>
      </c>
      <c r="F92" s="11" t="s">
        <v>103</v>
      </c>
      <c r="G92" s="9">
        <v>0</v>
      </c>
      <c r="H92" s="12">
        <v>0</v>
      </c>
      <c r="I92" s="12">
        <f>Report_2026_Q1[[#This Row],[withdrawls villa ]]*Report_2026_Q1[[#This Row],[cost by unit ]]</f>
        <v>0</v>
      </c>
      <c r="J92" s="12">
        <v>1</v>
      </c>
      <c r="K92" s="12">
        <f>Report_2026_Q1[[#This Row],[withdrawls IBN ]]*Report_2026_Q1[[#This Row],[cost by unit ]]</f>
        <v>11</v>
      </c>
      <c r="L92" s="55">
        <v>11</v>
      </c>
      <c r="M92" s="13">
        <f>Report_2026_Q1[[#This Row],[cost villa ]]+Report_2026_Q1[[#This Row],[IBN cost ]]</f>
        <v>11</v>
      </c>
      <c r="N92" s="12">
        <f>Report_2026_Q1[[#This Row],[3 monthes  ORDER ]]*Report_2026_Q1[[#This Row],[cost by unit ]]</f>
        <v>44</v>
      </c>
      <c r="O92" s="14"/>
      <c r="P92" s="14"/>
      <c r="Q92" s="49">
        <f>Report_2026_Q1[[#This Row],[withdrawls villa ]]+Report_2026_Q1[[#This Row],[withdrawls IBN ]]</f>
        <v>1</v>
      </c>
      <c r="S92" s="49">
        <f>Report_2026_Q1[[#This Row],[3 monthes  ORDER ]]-Q92</f>
        <v>3</v>
      </c>
    </row>
    <row r="93" spans="1:19" s="15" customFormat="1" ht="15.6">
      <c r="A93" s="8"/>
      <c r="B93" s="9">
        <v>92</v>
      </c>
      <c r="C93" s="32" t="s">
        <v>112</v>
      </c>
      <c r="D93" s="22" t="s">
        <v>52</v>
      </c>
      <c r="E93" s="10">
        <v>20</v>
      </c>
      <c r="F93" s="11" t="s">
        <v>103</v>
      </c>
      <c r="G93" s="9">
        <v>0</v>
      </c>
      <c r="H93" s="12">
        <v>0</v>
      </c>
      <c r="I93" s="12">
        <f>Report_2026_Q1[[#This Row],[withdrawls villa ]]*Report_2026_Q1[[#This Row],[cost by unit ]]</f>
        <v>0</v>
      </c>
      <c r="J93" s="46">
        <v>9</v>
      </c>
      <c r="K93" s="12">
        <f>Report_2026_Q1[[#This Row],[withdrawls IBN ]]*Report_2026_Q1[[#This Row],[cost by unit ]]</f>
        <v>153</v>
      </c>
      <c r="L93" s="55">
        <v>17</v>
      </c>
      <c r="M93" s="13">
        <f>Report_2026_Q1[[#This Row],[cost villa ]]+Report_2026_Q1[[#This Row],[IBN cost ]]</f>
        <v>153</v>
      </c>
      <c r="N93" s="12">
        <f>Report_2026_Q1[[#This Row],[3 monthes  ORDER ]]*Report_2026_Q1[[#This Row],[cost by unit ]]</f>
        <v>340</v>
      </c>
      <c r="O93" s="14"/>
      <c r="P93" s="14"/>
      <c r="Q93" s="49">
        <f>Report_2026_Q1[[#This Row],[withdrawls villa ]]+Report_2026_Q1[[#This Row],[withdrawls IBN ]]</f>
        <v>9</v>
      </c>
      <c r="S93" s="49">
        <f>Report_2026_Q1[[#This Row],[3 monthes  ORDER ]]-Q93</f>
        <v>11</v>
      </c>
    </row>
    <row r="94" spans="1:19" s="15" customFormat="1" ht="15.6">
      <c r="A94" s="8"/>
      <c r="B94" s="9">
        <v>93</v>
      </c>
      <c r="C94" s="32" t="s">
        <v>113</v>
      </c>
      <c r="D94" s="32" t="s">
        <v>11</v>
      </c>
      <c r="E94" s="10">
        <v>15</v>
      </c>
      <c r="F94" s="11" t="s">
        <v>103</v>
      </c>
      <c r="G94" s="9">
        <v>0</v>
      </c>
      <c r="H94" s="12">
        <v>0</v>
      </c>
      <c r="I94" s="12">
        <f>Report_2026_Q1[[#This Row],[withdrawls villa ]]*Report_2026_Q1[[#This Row],[cost by unit ]]</f>
        <v>0</v>
      </c>
      <c r="J94" s="12">
        <v>3</v>
      </c>
      <c r="K94" s="12">
        <f>Report_2026_Q1[[#This Row],[withdrawls IBN ]]*Report_2026_Q1[[#This Row],[cost by unit ]]</f>
        <v>37.5</v>
      </c>
      <c r="L94" s="55">
        <v>12.5</v>
      </c>
      <c r="M94" s="13">
        <f>Report_2026_Q1[[#This Row],[cost villa ]]+Report_2026_Q1[[#This Row],[IBN cost ]]</f>
        <v>37.5</v>
      </c>
      <c r="N94" s="12">
        <f>Report_2026_Q1[[#This Row],[3 monthes  ORDER ]]*Report_2026_Q1[[#This Row],[cost by unit ]]</f>
        <v>187.5</v>
      </c>
      <c r="O94" s="14"/>
      <c r="P94" s="14"/>
      <c r="Q94" s="49">
        <f>Report_2026_Q1[[#This Row],[withdrawls villa ]]+Report_2026_Q1[[#This Row],[withdrawls IBN ]]</f>
        <v>3</v>
      </c>
      <c r="S94" s="49">
        <f>Report_2026_Q1[[#This Row],[3 monthes  ORDER ]]-Q94</f>
        <v>12</v>
      </c>
    </row>
    <row r="95" spans="1:19" s="15" customFormat="1" ht="15.6">
      <c r="A95" s="8"/>
      <c r="B95" s="9">
        <v>94</v>
      </c>
      <c r="C95" s="32" t="s">
        <v>114</v>
      </c>
      <c r="D95" s="22" t="s">
        <v>16</v>
      </c>
      <c r="E95" s="10">
        <v>1</v>
      </c>
      <c r="F95" s="11" t="s">
        <v>103</v>
      </c>
      <c r="G95" s="9">
        <v>1</v>
      </c>
      <c r="H95" s="12">
        <v>0</v>
      </c>
      <c r="I95" s="12">
        <f>Report_2026_Q1[[#This Row],[withdrawls villa ]]*Report_2026_Q1[[#This Row],[cost by unit ]]</f>
        <v>0</v>
      </c>
      <c r="J95" s="12">
        <v>1</v>
      </c>
      <c r="K95" s="12">
        <f>Report_2026_Q1[[#This Row],[withdrawls IBN ]]*Report_2026_Q1[[#This Row],[cost by unit ]]</f>
        <v>143</v>
      </c>
      <c r="L95" s="55">
        <v>143</v>
      </c>
      <c r="M95" s="13">
        <f>Report_2026_Q1[[#This Row],[cost villa ]]+Report_2026_Q1[[#This Row],[IBN cost ]]</f>
        <v>143</v>
      </c>
      <c r="N95" s="12">
        <f>Report_2026_Q1[[#This Row],[3 monthes  ORDER ]]*Report_2026_Q1[[#This Row],[cost by unit ]]</f>
        <v>143</v>
      </c>
      <c r="O95" s="14"/>
      <c r="P95" s="14"/>
      <c r="Q95" s="49">
        <f>Report_2026_Q1[[#This Row],[withdrawls villa ]]+Report_2026_Q1[[#This Row],[withdrawls IBN ]]</f>
        <v>1</v>
      </c>
      <c r="S95" s="49">
        <f>Report_2026_Q1[[#This Row],[3 monthes  ORDER ]]-Q95</f>
        <v>0</v>
      </c>
    </row>
    <row r="96" spans="1:19" s="15" customFormat="1" ht="15.6">
      <c r="A96" s="8"/>
      <c r="B96" s="9">
        <v>95</v>
      </c>
      <c r="C96" s="32" t="s">
        <v>115</v>
      </c>
      <c r="D96" s="22" t="s">
        <v>16</v>
      </c>
      <c r="E96" s="10">
        <v>2</v>
      </c>
      <c r="F96" s="11" t="s">
        <v>103</v>
      </c>
      <c r="G96" s="9">
        <v>0</v>
      </c>
      <c r="H96" s="12">
        <v>0</v>
      </c>
      <c r="I96" s="12">
        <f>Report_2026_Q1[[#This Row],[withdrawls villa ]]*Report_2026_Q1[[#This Row],[cost by unit ]]</f>
        <v>0</v>
      </c>
      <c r="J96" s="12">
        <v>1</v>
      </c>
      <c r="K96" s="12">
        <f>Report_2026_Q1[[#This Row],[withdrawls IBN ]]*Report_2026_Q1[[#This Row],[cost by unit ]]</f>
        <v>18</v>
      </c>
      <c r="L96" s="55">
        <v>18</v>
      </c>
      <c r="M96" s="13">
        <f>Report_2026_Q1[[#This Row],[cost villa ]]+Report_2026_Q1[[#This Row],[IBN cost ]]</f>
        <v>18</v>
      </c>
      <c r="N96" s="12">
        <f>Report_2026_Q1[[#This Row],[3 monthes  ORDER ]]*Report_2026_Q1[[#This Row],[cost by unit ]]</f>
        <v>36</v>
      </c>
      <c r="O96" s="14"/>
      <c r="P96" s="14"/>
      <c r="Q96" s="49">
        <f>Report_2026_Q1[[#This Row],[withdrawls villa ]]+Report_2026_Q1[[#This Row],[withdrawls IBN ]]</f>
        <v>1</v>
      </c>
      <c r="S96" s="49">
        <f>Report_2026_Q1[[#This Row],[3 monthes  ORDER ]]-Q96</f>
        <v>1</v>
      </c>
    </row>
    <row r="97" spans="1:19" s="15" customFormat="1" ht="15.05" customHeight="1">
      <c r="A97" s="8"/>
      <c r="B97" s="9">
        <v>96</v>
      </c>
      <c r="C97" s="32" t="s">
        <v>116</v>
      </c>
      <c r="D97" s="22" t="s">
        <v>16</v>
      </c>
      <c r="E97" s="10">
        <v>1</v>
      </c>
      <c r="F97" s="11" t="s">
        <v>103</v>
      </c>
      <c r="G97" s="9">
        <v>0</v>
      </c>
      <c r="H97" s="12">
        <v>0</v>
      </c>
      <c r="I97" s="12">
        <f>Report_2026_Q1[[#This Row],[withdrawls villa ]]*Report_2026_Q1[[#This Row],[cost by unit ]]</f>
        <v>0</v>
      </c>
      <c r="J97" s="12"/>
      <c r="K97" s="12">
        <f>Report_2026_Q1[[#This Row],[withdrawls IBN ]]*Report_2026_Q1[[#This Row],[cost by unit ]]</f>
        <v>0</v>
      </c>
      <c r="L97" s="55">
        <v>6</v>
      </c>
      <c r="M97" s="13">
        <f>Report_2026_Q1[[#This Row],[cost villa ]]+Report_2026_Q1[[#This Row],[IBN cost ]]</f>
        <v>0</v>
      </c>
      <c r="N97" s="12">
        <f>Report_2026_Q1[[#This Row],[3 monthes  ORDER ]]*Report_2026_Q1[[#This Row],[cost by unit ]]</f>
        <v>6</v>
      </c>
      <c r="O97" s="14"/>
      <c r="P97" s="14"/>
      <c r="Q97" s="49">
        <f>Report_2026_Q1[[#This Row],[withdrawls villa ]]+Report_2026_Q1[[#This Row],[withdrawls IBN ]]</f>
        <v>0</v>
      </c>
      <c r="S97" s="49">
        <f>Report_2026_Q1[[#This Row],[3 monthes  ORDER ]]-Q97</f>
        <v>1</v>
      </c>
    </row>
    <row r="98" spans="1:19" s="15" customFormat="1" ht="15.6">
      <c r="A98" s="8"/>
      <c r="B98" s="9">
        <v>97</v>
      </c>
      <c r="C98" s="32" t="s">
        <v>117</v>
      </c>
      <c r="D98" s="22" t="s">
        <v>52</v>
      </c>
      <c r="E98" s="10">
        <v>15</v>
      </c>
      <c r="F98" s="11" t="s">
        <v>103</v>
      </c>
      <c r="G98" s="9">
        <v>0</v>
      </c>
      <c r="H98" s="12">
        <v>1</v>
      </c>
      <c r="I98" s="12">
        <f>Report_2026_Q1[[#This Row],[withdrawls villa ]]*Report_2026_Q1[[#This Row],[cost by unit ]]</f>
        <v>11</v>
      </c>
      <c r="J98" s="46">
        <v>5</v>
      </c>
      <c r="K98" s="12">
        <f>Report_2026_Q1[[#This Row],[withdrawls IBN ]]*Report_2026_Q1[[#This Row],[cost by unit ]]</f>
        <v>55</v>
      </c>
      <c r="L98" s="55">
        <v>11</v>
      </c>
      <c r="M98" s="13">
        <f>Report_2026_Q1[[#This Row],[cost villa ]]+Report_2026_Q1[[#This Row],[IBN cost ]]</f>
        <v>66</v>
      </c>
      <c r="N98" s="12">
        <f>Report_2026_Q1[[#This Row],[3 monthes  ORDER ]]*Report_2026_Q1[[#This Row],[cost by unit ]]</f>
        <v>165</v>
      </c>
      <c r="O98" s="14"/>
      <c r="P98" s="14"/>
      <c r="Q98" s="49">
        <f>Report_2026_Q1[[#This Row],[withdrawls villa ]]+Report_2026_Q1[[#This Row],[withdrawls IBN ]]</f>
        <v>6</v>
      </c>
      <c r="S98" s="49">
        <f>Report_2026_Q1[[#This Row],[3 monthes  ORDER ]]-Q98</f>
        <v>9</v>
      </c>
    </row>
    <row r="99" spans="1:19" s="15" customFormat="1" ht="15.6">
      <c r="A99" s="8"/>
      <c r="B99" s="9">
        <v>98</v>
      </c>
      <c r="C99" s="37" t="s">
        <v>118</v>
      </c>
      <c r="D99" s="22" t="s">
        <v>28</v>
      </c>
      <c r="E99" s="10">
        <v>3</v>
      </c>
      <c r="F99" s="11" t="s">
        <v>103</v>
      </c>
      <c r="G99" s="9">
        <v>0</v>
      </c>
      <c r="H99" s="12">
        <v>1</v>
      </c>
      <c r="I99" s="12">
        <f>Report_2026_Q1[[#This Row],[withdrawls villa ]]*Report_2026_Q1[[#This Row],[cost by unit ]]</f>
        <v>45</v>
      </c>
      <c r="J99" s="46">
        <v>2</v>
      </c>
      <c r="K99" s="12">
        <f>Report_2026_Q1[[#This Row],[withdrawls IBN ]]*Report_2026_Q1[[#This Row],[cost by unit ]]</f>
        <v>90</v>
      </c>
      <c r="L99" s="55">
        <v>45</v>
      </c>
      <c r="M99" s="13">
        <f>Report_2026_Q1[[#This Row],[cost villa ]]+Report_2026_Q1[[#This Row],[IBN cost ]]</f>
        <v>135</v>
      </c>
      <c r="N99" s="12">
        <f>Report_2026_Q1[[#This Row],[3 monthes  ORDER ]]*Report_2026_Q1[[#This Row],[cost by unit ]]</f>
        <v>135</v>
      </c>
      <c r="O99" s="14"/>
      <c r="P99" s="14"/>
      <c r="Q99" s="49">
        <f>Report_2026_Q1[[#This Row],[withdrawls villa ]]+Report_2026_Q1[[#This Row],[withdrawls IBN ]]</f>
        <v>3</v>
      </c>
      <c r="S99" s="49">
        <f>Report_2026_Q1[[#This Row],[3 monthes  ORDER ]]-Q99</f>
        <v>0</v>
      </c>
    </row>
    <row r="100" spans="1:19" s="15" customFormat="1" ht="15.6">
      <c r="A100" s="8"/>
      <c r="B100" s="9">
        <v>99</v>
      </c>
      <c r="C100" s="32" t="s">
        <v>119</v>
      </c>
      <c r="D100" s="32" t="s">
        <v>11</v>
      </c>
      <c r="E100" s="10">
        <v>10</v>
      </c>
      <c r="F100" s="11" t="s">
        <v>103</v>
      </c>
      <c r="G100" s="9">
        <v>0</v>
      </c>
      <c r="H100" s="12">
        <v>0</v>
      </c>
      <c r="I100" s="12">
        <f>Report_2026_Q1[[#This Row],[withdrawls villa ]]*Report_2026_Q1[[#This Row],[cost by unit ]]</f>
        <v>0</v>
      </c>
      <c r="J100" s="12">
        <v>4</v>
      </c>
      <c r="K100" s="12">
        <f>Report_2026_Q1[[#This Row],[withdrawls IBN ]]*Report_2026_Q1[[#This Row],[cost by unit ]]</f>
        <v>100</v>
      </c>
      <c r="L100" s="55">
        <v>25</v>
      </c>
      <c r="M100" s="13">
        <f>Report_2026_Q1[[#This Row],[cost villa ]]+Report_2026_Q1[[#This Row],[IBN cost ]]</f>
        <v>100</v>
      </c>
      <c r="N100" s="12">
        <f>Report_2026_Q1[[#This Row],[3 monthes  ORDER ]]*Report_2026_Q1[[#This Row],[cost by unit ]]</f>
        <v>250</v>
      </c>
      <c r="O100" s="14"/>
      <c r="P100" s="14"/>
      <c r="Q100" s="49">
        <f>Report_2026_Q1[[#This Row],[withdrawls villa ]]+Report_2026_Q1[[#This Row],[withdrawls IBN ]]</f>
        <v>4</v>
      </c>
      <c r="S100" s="49">
        <f>Report_2026_Q1[[#This Row],[3 monthes  ORDER ]]-Q100</f>
        <v>6</v>
      </c>
    </row>
    <row r="101" spans="1:19" s="15" customFormat="1" ht="15.6">
      <c r="A101" s="8"/>
      <c r="B101" s="9">
        <v>100</v>
      </c>
      <c r="C101" s="37" t="s">
        <v>120</v>
      </c>
      <c r="D101" s="22" t="s">
        <v>16</v>
      </c>
      <c r="E101" s="10">
        <v>3</v>
      </c>
      <c r="F101" s="11" t="s">
        <v>103</v>
      </c>
      <c r="G101" s="9">
        <v>0</v>
      </c>
      <c r="H101" s="12">
        <v>0</v>
      </c>
      <c r="I101" s="12">
        <f>Report_2026_Q1[[#This Row],[withdrawls villa ]]*Report_2026_Q1[[#This Row],[cost by unit ]]</f>
        <v>0</v>
      </c>
      <c r="J101" s="12">
        <v>2</v>
      </c>
      <c r="K101" s="12">
        <f>Report_2026_Q1[[#This Row],[withdrawls IBN ]]*Report_2026_Q1[[#This Row],[cost by unit ]]</f>
        <v>80</v>
      </c>
      <c r="L101" s="55">
        <v>40</v>
      </c>
      <c r="M101" s="13">
        <f>Report_2026_Q1[[#This Row],[cost villa ]]+Report_2026_Q1[[#This Row],[IBN cost ]]</f>
        <v>80</v>
      </c>
      <c r="N101" s="12">
        <f>Report_2026_Q1[[#This Row],[3 monthes  ORDER ]]*Report_2026_Q1[[#This Row],[cost by unit ]]</f>
        <v>120</v>
      </c>
      <c r="O101" s="14"/>
      <c r="P101" s="14"/>
      <c r="Q101" s="49">
        <f>Report_2026_Q1[[#This Row],[withdrawls villa ]]+Report_2026_Q1[[#This Row],[withdrawls IBN ]]</f>
        <v>2</v>
      </c>
      <c r="S101" s="49">
        <f>Report_2026_Q1[[#This Row],[3 monthes  ORDER ]]-Q101</f>
        <v>1</v>
      </c>
    </row>
    <row r="102" spans="1:19" s="6" customFormat="1" ht="15.6">
      <c r="A102" s="8"/>
      <c r="B102" s="9">
        <v>101</v>
      </c>
      <c r="C102" s="37" t="s">
        <v>121</v>
      </c>
      <c r="D102" s="22" t="s">
        <v>16</v>
      </c>
      <c r="E102" s="10">
        <v>5</v>
      </c>
      <c r="F102" s="11" t="s">
        <v>103</v>
      </c>
      <c r="G102" s="9">
        <v>0</v>
      </c>
      <c r="H102" s="12">
        <v>0</v>
      </c>
      <c r="I102" s="12">
        <f>Report_2026_Q1[[#This Row],[withdrawls villa ]]*Report_2026_Q1[[#This Row],[cost by unit ]]</f>
        <v>0</v>
      </c>
      <c r="J102" s="12">
        <v>1</v>
      </c>
      <c r="K102" s="12">
        <f>Report_2026_Q1[[#This Row],[withdrawls IBN ]]*Report_2026_Q1[[#This Row],[cost by unit ]]</f>
        <v>1.2</v>
      </c>
      <c r="L102" s="55">
        <v>1.2</v>
      </c>
      <c r="M102" s="13">
        <f>Report_2026_Q1[[#This Row],[cost villa ]]+Report_2026_Q1[[#This Row],[IBN cost ]]</f>
        <v>1.2</v>
      </c>
      <c r="N102" s="12">
        <f>Report_2026_Q1[[#This Row],[3 monthes  ORDER ]]*Report_2026_Q1[[#This Row],[cost by unit ]]</f>
        <v>6</v>
      </c>
      <c r="O102" s="5"/>
      <c r="P102" s="5"/>
      <c r="Q102" s="49">
        <f>Report_2026_Q1[[#This Row],[withdrawls villa ]]+Report_2026_Q1[[#This Row],[withdrawls IBN ]]</f>
        <v>1</v>
      </c>
      <c r="S102" s="49">
        <f>Report_2026_Q1[[#This Row],[3 monthes  ORDER ]]-Q102</f>
        <v>4</v>
      </c>
    </row>
    <row r="103" spans="1:19" s="6" customFormat="1" ht="15.6">
      <c r="A103" s="8"/>
      <c r="B103" s="9">
        <v>102</v>
      </c>
      <c r="C103" s="37" t="s">
        <v>122</v>
      </c>
      <c r="D103" s="32" t="s">
        <v>11</v>
      </c>
      <c r="E103" s="10">
        <v>2</v>
      </c>
      <c r="F103" s="11" t="s">
        <v>103</v>
      </c>
      <c r="G103" s="9">
        <v>0</v>
      </c>
      <c r="H103" s="12">
        <v>0</v>
      </c>
      <c r="I103" s="12">
        <f>Report_2026_Q1[[#This Row],[withdrawls villa ]]*Report_2026_Q1[[#This Row],[cost by unit ]]</f>
        <v>0</v>
      </c>
      <c r="J103" s="12">
        <v>1</v>
      </c>
      <c r="K103" s="12">
        <f>Report_2026_Q1[[#This Row],[withdrawls IBN ]]*Report_2026_Q1[[#This Row],[cost by unit ]]</f>
        <v>7.0000000000000007E-2</v>
      </c>
      <c r="L103" s="55">
        <v>7.0000000000000007E-2</v>
      </c>
      <c r="M103" s="13">
        <f>Report_2026_Q1[[#This Row],[cost villa ]]+Report_2026_Q1[[#This Row],[IBN cost ]]</f>
        <v>7.0000000000000007E-2</v>
      </c>
      <c r="N103" s="12">
        <f>Report_2026_Q1[[#This Row],[3 monthes  ORDER ]]*Report_2026_Q1[[#This Row],[cost by unit ]]</f>
        <v>0.14000000000000001</v>
      </c>
      <c r="O103" s="5"/>
      <c r="P103" s="5"/>
      <c r="Q103" s="49">
        <f>Report_2026_Q1[[#This Row],[withdrawls villa ]]+Report_2026_Q1[[#This Row],[withdrawls IBN ]]</f>
        <v>1</v>
      </c>
      <c r="S103" s="49">
        <f>Report_2026_Q1[[#This Row],[3 monthes  ORDER ]]-Q103</f>
        <v>1</v>
      </c>
    </row>
    <row r="104" spans="1:19" s="6" customFormat="1" ht="15.6">
      <c r="A104" s="8"/>
      <c r="B104" s="9">
        <v>103</v>
      </c>
      <c r="C104" s="37" t="s">
        <v>123</v>
      </c>
      <c r="D104" s="32" t="s">
        <v>11</v>
      </c>
      <c r="E104" s="10">
        <v>20</v>
      </c>
      <c r="F104" s="11" t="s">
        <v>103</v>
      </c>
      <c r="G104" s="9">
        <v>0</v>
      </c>
      <c r="H104" s="12">
        <v>0</v>
      </c>
      <c r="I104" s="12">
        <f>Report_2026_Q1[[#This Row],[withdrawls villa ]]*Report_2026_Q1[[#This Row],[cost by unit ]]</f>
        <v>0</v>
      </c>
      <c r="J104" s="12">
        <v>0</v>
      </c>
      <c r="K104" s="12">
        <f>Report_2026_Q1[[#This Row],[withdrawls IBN ]]*Report_2026_Q1[[#This Row],[cost by unit ]]</f>
        <v>0</v>
      </c>
      <c r="L104" s="55">
        <v>3.9</v>
      </c>
      <c r="M104" s="13">
        <f>Report_2026_Q1[[#This Row],[cost villa ]]+Report_2026_Q1[[#This Row],[IBN cost ]]</f>
        <v>0</v>
      </c>
      <c r="N104" s="12">
        <f>Report_2026_Q1[[#This Row],[3 monthes  ORDER ]]*Report_2026_Q1[[#This Row],[cost by unit ]]</f>
        <v>78</v>
      </c>
      <c r="O104" s="5"/>
      <c r="P104" s="5"/>
      <c r="Q104" s="49">
        <f>Report_2026_Q1[[#This Row],[withdrawls villa ]]+Report_2026_Q1[[#This Row],[withdrawls IBN ]]</f>
        <v>0</v>
      </c>
      <c r="S104" s="49">
        <f>Report_2026_Q1[[#This Row],[3 monthes  ORDER ]]-Q104</f>
        <v>20</v>
      </c>
    </row>
    <row r="105" spans="1:19" s="6" customFormat="1" ht="15.6">
      <c r="A105" s="8"/>
      <c r="B105" s="9">
        <v>104</v>
      </c>
      <c r="C105" s="37" t="s">
        <v>124</v>
      </c>
      <c r="D105" s="22" t="s">
        <v>16</v>
      </c>
      <c r="E105" s="10">
        <v>10</v>
      </c>
      <c r="F105" s="11" t="s">
        <v>103</v>
      </c>
      <c r="G105" s="9">
        <v>0</v>
      </c>
      <c r="H105" s="12">
        <v>0</v>
      </c>
      <c r="I105" s="12">
        <f>Report_2026_Q1[[#This Row],[withdrawls villa ]]*Report_2026_Q1[[#This Row],[cost by unit ]]</f>
        <v>0</v>
      </c>
      <c r="J105" s="12">
        <v>3</v>
      </c>
      <c r="K105" s="12">
        <f>Report_2026_Q1[[#This Row],[withdrawls IBN ]]*Report_2026_Q1[[#This Row],[cost by unit ]]</f>
        <v>16.5</v>
      </c>
      <c r="L105" s="55">
        <v>5.5</v>
      </c>
      <c r="M105" s="13">
        <f>Report_2026_Q1[[#This Row],[cost villa ]]+Report_2026_Q1[[#This Row],[IBN cost ]]</f>
        <v>16.5</v>
      </c>
      <c r="N105" s="12">
        <f>Report_2026_Q1[[#This Row],[3 monthes  ORDER ]]*Report_2026_Q1[[#This Row],[cost by unit ]]</f>
        <v>55</v>
      </c>
      <c r="O105" s="5"/>
      <c r="P105" s="5"/>
      <c r="Q105" s="49">
        <f>Report_2026_Q1[[#This Row],[withdrawls villa ]]+Report_2026_Q1[[#This Row],[withdrawls IBN ]]</f>
        <v>3</v>
      </c>
      <c r="S105" s="49">
        <f>Report_2026_Q1[[#This Row],[3 monthes  ORDER ]]-Q105</f>
        <v>7</v>
      </c>
    </row>
    <row r="106" spans="1:19" s="6" customFormat="1" ht="15.6">
      <c r="A106" s="8"/>
      <c r="B106" s="9">
        <v>105</v>
      </c>
      <c r="C106" s="37" t="s">
        <v>125</v>
      </c>
      <c r="D106" s="22" t="s">
        <v>16</v>
      </c>
      <c r="E106" s="10">
        <v>2</v>
      </c>
      <c r="F106" s="11" t="s">
        <v>103</v>
      </c>
      <c r="G106" s="9">
        <v>0</v>
      </c>
      <c r="H106" s="12">
        <v>0</v>
      </c>
      <c r="I106" s="12">
        <f>Report_2026_Q1[[#This Row],[withdrawls villa ]]*Report_2026_Q1[[#This Row],[cost by unit ]]</f>
        <v>0</v>
      </c>
      <c r="J106" s="12">
        <v>1</v>
      </c>
      <c r="K106" s="12">
        <f>Report_2026_Q1[[#This Row],[withdrawls IBN ]]*Report_2026_Q1[[#This Row],[cost by unit ]]</f>
        <v>35</v>
      </c>
      <c r="L106" s="55">
        <v>35</v>
      </c>
      <c r="M106" s="13">
        <f>Report_2026_Q1[[#This Row],[cost villa ]]+Report_2026_Q1[[#This Row],[IBN cost ]]</f>
        <v>35</v>
      </c>
      <c r="N106" s="12">
        <f>Report_2026_Q1[[#This Row],[3 monthes  ORDER ]]*Report_2026_Q1[[#This Row],[cost by unit ]]</f>
        <v>70</v>
      </c>
      <c r="O106" s="5"/>
      <c r="P106" s="5"/>
      <c r="Q106" s="49">
        <f>Report_2026_Q1[[#This Row],[withdrawls villa ]]+Report_2026_Q1[[#This Row],[withdrawls IBN ]]</f>
        <v>1</v>
      </c>
      <c r="S106" s="49">
        <f>Report_2026_Q1[[#This Row],[3 monthes  ORDER ]]-Q106</f>
        <v>1</v>
      </c>
    </row>
    <row r="107" spans="1:19" s="6" customFormat="1" ht="15.6">
      <c r="A107" s="8"/>
      <c r="B107" s="9">
        <v>106</v>
      </c>
      <c r="C107" s="37" t="s">
        <v>126</v>
      </c>
      <c r="D107" s="32" t="s">
        <v>11</v>
      </c>
      <c r="E107" s="10">
        <v>5</v>
      </c>
      <c r="F107" s="11" t="s">
        <v>103</v>
      </c>
      <c r="G107" s="9">
        <v>0</v>
      </c>
      <c r="H107" s="12"/>
      <c r="I107" s="12">
        <f>Report_2026_Q1[[#This Row],[withdrawls villa ]]*Report_2026_Q1[[#This Row],[cost by unit ]]</f>
        <v>0</v>
      </c>
      <c r="J107" s="12"/>
      <c r="K107" s="12">
        <f>Report_2026_Q1[[#This Row],[withdrawls IBN ]]*Report_2026_Q1[[#This Row],[cost by unit ]]</f>
        <v>0</v>
      </c>
      <c r="L107" s="55">
        <v>7.5</v>
      </c>
      <c r="M107" s="13">
        <f>Report_2026_Q1[[#This Row],[cost villa ]]+Report_2026_Q1[[#This Row],[IBN cost ]]</f>
        <v>0</v>
      </c>
      <c r="N107" s="12">
        <f>Report_2026_Q1[[#This Row],[3 monthes  ORDER ]]*Report_2026_Q1[[#This Row],[cost by unit ]]</f>
        <v>37.5</v>
      </c>
      <c r="O107" s="5"/>
      <c r="P107" s="5"/>
      <c r="Q107" s="49">
        <f>Report_2026_Q1[[#This Row],[withdrawls villa ]]+Report_2026_Q1[[#This Row],[withdrawls IBN ]]</f>
        <v>0</v>
      </c>
      <c r="S107" s="49">
        <f>Report_2026_Q1[[#This Row],[3 monthes  ORDER ]]-Q107</f>
        <v>5</v>
      </c>
    </row>
    <row r="108" spans="1:19" s="6" customFormat="1" ht="15.6">
      <c r="A108" s="8"/>
      <c r="B108" s="9">
        <v>107</v>
      </c>
      <c r="C108" s="37" t="s">
        <v>127</v>
      </c>
      <c r="D108" s="22" t="s">
        <v>16</v>
      </c>
      <c r="E108" s="10">
        <v>4</v>
      </c>
      <c r="F108" s="11" t="s">
        <v>103</v>
      </c>
      <c r="G108" s="9">
        <v>0</v>
      </c>
      <c r="H108" s="12"/>
      <c r="I108" s="12">
        <f>Report_2026_Q1[[#This Row],[withdrawls villa ]]*Report_2026_Q1[[#This Row],[cost by unit ]]</f>
        <v>0</v>
      </c>
      <c r="J108" s="12"/>
      <c r="K108" s="12">
        <f>Report_2026_Q1[[#This Row],[withdrawls IBN ]]*Report_2026_Q1[[#This Row],[cost by unit ]]</f>
        <v>0</v>
      </c>
      <c r="L108" s="55">
        <v>37</v>
      </c>
      <c r="M108" s="13">
        <f>Report_2026_Q1[[#This Row],[cost villa ]]+Report_2026_Q1[[#This Row],[IBN cost ]]</f>
        <v>0</v>
      </c>
      <c r="N108" s="12">
        <f>Report_2026_Q1[[#This Row],[3 monthes  ORDER ]]*Report_2026_Q1[[#This Row],[cost by unit ]]</f>
        <v>148</v>
      </c>
      <c r="O108" s="5"/>
      <c r="P108" s="5"/>
      <c r="Q108" s="49">
        <f>Report_2026_Q1[[#This Row],[withdrawls villa ]]+Report_2026_Q1[[#This Row],[withdrawls IBN ]]</f>
        <v>0</v>
      </c>
      <c r="S108" s="49">
        <f>Report_2026_Q1[[#This Row],[3 monthes  ORDER ]]-Q108</f>
        <v>4</v>
      </c>
    </row>
    <row r="109" spans="1:19" s="6" customFormat="1" ht="15.6">
      <c r="A109" s="8"/>
      <c r="B109" s="9">
        <v>108</v>
      </c>
      <c r="C109" s="37" t="s">
        <v>128</v>
      </c>
      <c r="D109" s="22" t="s">
        <v>16</v>
      </c>
      <c r="E109" s="10">
        <v>4</v>
      </c>
      <c r="F109" s="11" t="s">
        <v>103</v>
      </c>
      <c r="G109" s="9">
        <v>0</v>
      </c>
      <c r="H109" s="12">
        <v>0</v>
      </c>
      <c r="I109" s="12">
        <f>Report_2026_Q1[[#This Row],[withdrawls villa ]]*Report_2026_Q1[[#This Row],[cost by unit ]]</f>
        <v>0</v>
      </c>
      <c r="J109" s="12"/>
      <c r="K109" s="12">
        <f>Report_2026_Q1[[#This Row],[withdrawls IBN ]]*Report_2026_Q1[[#This Row],[cost by unit ]]</f>
        <v>0</v>
      </c>
      <c r="L109" s="55">
        <v>37</v>
      </c>
      <c r="M109" s="13">
        <f>Report_2026_Q1[[#This Row],[cost villa ]]+Report_2026_Q1[[#This Row],[IBN cost ]]</f>
        <v>0</v>
      </c>
      <c r="N109" s="12">
        <f>Report_2026_Q1[[#This Row],[3 monthes  ORDER ]]*Report_2026_Q1[[#This Row],[cost by unit ]]</f>
        <v>148</v>
      </c>
      <c r="O109" s="5"/>
      <c r="P109" s="5"/>
      <c r="Q109" s="49">
        <f>Report_2026_Q1[[#This Row],[withdrawls villa ]]+Report_2026_Q1[[#This Row],[withdrawls IBN ]]</f>
        <v>0</v>
      </c>
      <c r="S109" s="49">
        <f>Report_2026_Q1[[#This Row],[3 monthes  ORDER ]]-Q109</f>
        <v>4</v>
      </c>
    </row>
    <row r="110" spans="1:19" s="6" customFormat="1" ht="15.6">
      <c r="A110" s="8"/>
      <c r="B110" s="9">
        <v>109</v>
      </c>
      <c r="C110" s="37" t="s">
        <v>129</v>
      </c>
      <c r="D110" s="32" t="s">
        <v>11</v>
      </c>
      <c r="E110" s="10">
        <v>120</v>
      </c>
      <c r="F110" s="11" t="s">
        <v>103</v>
      </c>
      <c r="G110" s="9">
        <v>0</v>
      </c>
      <c r="H110" s="12">
        <v>7</v>
      </c>
      <c r="I110" s="12">
        <f>Report_2026_Q1[[#This Row],[withdrawls villa ]]*Report_2026_Q1[[#This Row],[cost by unit ]]</f>
        <v>17.5</v>
      </c>
      <c r="J110" s="12">
        <v>80</v>
      </c>
      <c r="K110" s="12">
        <f>Report_2026_Q1[[#This Row],[withdrawls IBN ]]*Report_2026_Q1[[#This Row],[cost by unit ]]</f>
        <v>200</v>
      </c>
      <c r="L110" s="55">
        <v>2.5</v>
      </c>
      <c r="M110" s="13">
        <f>Report_2026_Q1[[#This Row],[cost villa ]]+Report_2026_Q1[[#This Row],[IBN cost ]]</f>
        <v>217.5</v>
      </c>
      <c r="N110" s="12">
        <f>Report_2026_Q1[[#This Row],[3 monthes  ORDER ]]*Report_2026_Q1[[#This Row],[cost by unit ]]</f>
        <v>300</v>
      </c>
      <c r="O110" s="5"/>
      <c r="P110" s="5"/>
      <c r="Q110" s="49">
        <f>Report_2026_Q1[[#This Row],[withdrawls villa ]]+Report_2026_Q1[[#This Row],[withdrawls IBN ]]</f>
        <v>87</v>
      </c>
      <c r="S110" s="49">
        <f>Report_2026_Q1[[#This Row],[3 monthes  ORDER ]]-Q110</f>
        <v>33</v>
      </c>
    </row>
    <row r="111" spans="1:19" s="6" customFormat="1" ht="15.6">
      <c r="A111" s="8"/>
      <c r="B111" s="9">
        <v>110</v>
      </c>
      <c r="C111" s="37" t="s">
        <v>130</v>
      </c>
      <c r="D111" s="32" t="s">
        <v>11</v>
      </c>
      <c r="E111" s="10">
        <v>60</v>
      </c>
      <c r="F111" s="11" t="s">
        <v>103</v>
      </c>
      <c r="G111" s="9">
        <v>0</v>
      </c>
      <c r="H111" s="12">
        <v>10</v>
      </c>
      <c r="I111" s="12">
        <f>Report_2026_Q1[[#This Row],[withdrawls villa ]]*Report_2026_Q1[[#This Row],[cost by unit ]]</f>
        <v>0</v>
      </c>
      <c r="J111" s="12">
        <v>50</v>
      </c>
      <c r="K111" s="12">
        <f>Report_2026_Q1[[#This Row],[withdrawls IBN ]]*Report_2026_Q1[[#This Row],[cost by unit ]]</f>
        <v>0</v>
      </c>
      <c r="L111" s="55">
        <v>0</v>
      </c>
      <c r="M111" s="13">
        <f>Report_2026_Q1[[#This Row],[cost villa ]]+Report_2026_Q1[[#This Row],[IBN cost ]]</f>
        <v>0</v>
      </c>
      <c r="N111" s="12">
        <f>Report_2026_Q1[[#This Row],[3 monthes  ORDER ]]*Report_2026_Q1[[#This Row],[cost by unit ]]</f>
        <v>0</v>
      </c>
      <c r="O111" s="5"/>
      <c r="P111" s="5"/>
      <c r="Q111" s="49">
        <f>Report_2026_Q1[[#This Row],[withdrawls villa ]]+Report_2026_Q1[[#This Row],[withdrawls IBN ]]</f>
        <v>60</v>
      </c>
      <c r="S111" s="49">
        <f>Report_2026_Q1[[#This Row],[3 monthes  ORDER ]]-Q111</f>
        <v>0</v>
      </c>
    </row>
    <row r="112" spans="1:19" s="6" customFormat="1" ht="15.6">
      <c r="A112" s="8"/>
      <c r="B112" s="9">
        <v>111</v>
      </c>
      <c r="C112" s="32" t="s">
        <v>131</v>
      </c>
      <c r="D112" s="22" t="s">
        <v>16</v>
      </c>
      <c r="E112" s="10">
        <v>12</v>
      </c>
      <c r="F112" s="11" t="s">
        <v>103</v>
      </c>
      <c r="G112" s="9">
        <v>0</v>
      </c>
      <c r="H112" s="12">
        <v>1</v>
      </c>
      <c r="I112" s="12">
        <f>Report_2026_Q1[[#This Row],[withdrawls villa ]]*Report_2026_Q1[[#This Row],[cost by unit ]]</f>
        <v>69</v>
      </c>
      <c r="J112" s="12">
        <v>6</v>
      </c>
      <c r="K112" s="12">
        <f>Report_2026_Q1[[#This Row],[withdrawls IBN ]]*Report_2026_Q1[[#This Row],[cost by unit ]]</f>
        <v>414</v>
      </c>
      <c r="L112" s="55">
        <v>69</v>
      </c>
      <c r="M112" s="13">
        <f>Report_2026_Q1[[#This Row],[cost villa ]]+Report_2026_Q1[[#This Row],[IBN cost ]]</f>
        <v>483</v>
      </c>
      <c r="N112" s="12">
        <f>Report_2026_Q1[[#This Row],[3 monthes  ORDER ]]*Report_2026_Q1[[#This Row],[cost by unit ]]</f>
        <v>828</v>
      </c>
      <c r="O112" s="5"/>
      <c r="P112" s="5"/>
      <c r="Q112" s="49">
        <f>Report_2026_Q1[[#This Row],[withdrawls villa ]]+Report_2026_Q1[[#This Row],[withdrawls IBN ]]</f>
        <v>7</v>
      </c>
      <c r="S112" s="49">
        <f>Report_2026_Q1[[#This Row],[3 monthes  ORDER ]]-Q112</f>
        <v>5</v>
      </c>
    </row>
    <row r="113" spans="1:19" s="6" customFormat="1" ht="15.6">
      <c r="A113" s="8"/>
      <c r="B113" s="9">
        <v>112</v>
      </c>
      <c r="C113" s="32" t="s">
        <v>132</v>
      </c>
      <c r="D113" s="22" t="s">
        <v>16</v>
      </c>
      <c r="E113" s="10">
        <v>6</v>
      </c>
      <c r="F113" s="11" t="s">
        <v>103</v>
      </c>
      <c r="G113" s="9">
        <v>0</v>
      </c>
      <c r="H113" s="12">
        <v>0</v>
      </c>
      <c r="I113" s="12">
        <f>Report_2026_Q1[[#This Row],[withdrawls villa ]]*Report_2026_Q1[[#This Row],[cost by unit ]]</f>
        <v>0</v>
      </c>
      <c r="J113" s="12">
        <v>4</v>
      </c>
      <c r="K113" s="12">
        <f>Report_2026_Q1[[#This Row],[withdrawls IBN ]]*Report_2026_Q1[[#This Row],[cost by unit ]]</f>
        <v>80</v>
      </c>
      <c r="L113" s="55">
        <v>20</v>
      </c>
      <c r="M113" s="13">
        <f>Report_2026_Q1[[#This Row],[cost villa ]]+Report_2026_Q1[[#This Row],[IBN cost ]]</f>
        <v>80</v>
      </c>
      <c r="N113" s="12">
        <f>Report_2026_Q1[[#This Row],[3 monthes  ORDER ]]*Report_2026_Q1[[#This Row],[cost by unit ]]</f>
        <v>120</v>
      </c>
      <c r="O113" s="5"/>
      <c r="P113" s="5"/>
      <c r="Q113" s="49">
        <f>Report_2026_Q1[[#This Row],[withdrawls villa ]]+Report_2026_Q1[[#This Row],[withdrawls IBN ]]</f>
        <v>4</v>
      </c>
      <c r="S113" s="49">
        <f>Report_2026_Q1[[#This Row],[3 monthes  ORDER ]]-Q113</f>
        <v>2</v>
      </c>
    </row>
    <row r="114" spans="1:19" s="6" customFormat="1" ht="15.6">
      <c r="A114" s="8"/>
      <c r="B114" s="9">
        <v>113</v>
      </c>
      <c r="C114" s="32" t="s">
        <v>133</v>
      </c>
      <c r="D114" s="32" t="s">
        <v>134</v>
      </c>
      <c r="E114" s="10">
        <v>10</v>
      </c>
      <c r="F114" s="11" t="s">
        <v>103</v>
      </c>
      <c r="G114" s="9">
        <v>0</v>
      </c>
      <c r="H114" s="12">
        <v>2</v>
      </c>
      <c r="I114" s="12">
        <f>Report_2026_Q1[[#This Row],[withdrawls villa ]]*Report_2026_Q1[[#This Row],[cost by unit ]]</f>
        <v>68</v>
      </c>
      <c r="J114" s="12">
        <v>8</v>
      </c>
      <c r="K114" s="12">
        <f>Report_2026_Q1[[#This Row],[withdrawls IBN ]]*Report_2026_Q1[[#This Row],[cost by unit ]]</f>
        <v>272</v>
      </c>
      <c r="L114" s="55">
        <v>34</v>
      </c>
      <c r="M114" s="13">
        <f>Report_2026_Q1[[#This Row],[cost villa ]]+Report_2026_Q1[[#This Row],[IBN cost ]]</f>
        <v>340</v>
      </c>
      <c r="N114" s="12">
        <f>Report_2026_Q1[[#This Row],[3 monthes  ORDER ]]*Report_2026_Q1[[#This Row],[cost by unit ]]</f>
        <v>340</v>
      </c>
      <c r="O114" s="5"/>
      <c r="P114" s="5"/>
      <c r="Q114" s="49">
        <f>Report_2026_Q1[[#This Row],[withdrawls villa ]]+Report_2026_Q1[[#This Row],[withdrawls IBN ]]</f>
        <v>10</v>
      </c>
      <c r="S114" s="49">
        <f>Report_2026_Q1[[#This Row],[3 monthes  ORDER ]]-Q114</f>
        <v>0</v>
      </c>
    </row>
    <row r="115" spans="1:19" s="2" customFormat="1" ht="20.95">
      <c r="A115" s="42"/>
      <c r="B115" s="42"/>
      <c r="C115" s="43"/>
      <c r="D115" s="44"/>
      <c r="E115" s="44"/>
      <c r="F115" s="44"/>
      <c r="G115" s="44"/>
      <c r="H115" s="44"/>
      <c r="I115" s="44">
        <f>SUM(Report_2026_Q1[[cost villa ]])</f>
        <v>43653.274999999987</v>
      </c>
      <c r="J115" s="44"/>
      <c r="K115" s="44">
        <f>SUM(Report_2026_Q1[[IBN cost ]])</f>
        <v>12844.779999999999</v>
      </c>
      <c r="L115" s="44"/>
      <c r="M115" s="45">
        <f>SUM(Report_2026_Q1[[total cost of stocks ]])</f>
        <v>56498.055</v>
      </c>
      <c r="N115" s="45">
        <f>SUM(Report_2026_Q1[[totall cost of needed stck ]])</f>
        <v>83700.61</v>
      </c>
      <c r="O115" s="1"/>
      <c r="P115" s="1"/>
      <c r="Q115" s="49"/>
    </row>
    <row r="121" spans="1:19">
      <c r="M121" s="57"/>
    </row>
    <row r="123" spans="1:19">
      <c r="O123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66B9-B364-48C1-A77D-90198AD29BDF}">
  <dimension ref="A1:EQ117"/>
  <sheetViews>
    <sheetView tabSelected="1" zoomScale="55" zoomScaleNormal="55" workbookViewId="0">
      <selection activeCell="I4" sqref="I4"/>
    </sheetView>
  </sheetViews>
  <sheetFormatPr defaultRowHeight="14"/>
  <cols>
    <col min="1" max="1" width="5.8984375" style="2" bestFit="1" customWidth="1"/>
    <col min="2" max="2" width="8" style="2" bestFit="1" customWidth="1"/>
    <col min="3" max="3" width="47.59765625" style="2" bestFit="1" customWidth="1"/>
    <col min="4" max="4" width="9.19921875" style="2" bestFit="1" customWidth="1"/>
    <col min="5" max="5" width="21.59765625" style="2" bestFit="1" customWidth="1"/>
    <col min="6" max="6" width="12.796875" style="2" bestFit="1" customWidth="1"/>
    <col min="7" max="7" width="40.3984375" style="2" customWidth="1"/>
    <col min="8" max="8" width="18.8984375" style="2" bestFit="1" customWidth="1"/>
    <col min="9" max="9" width="13" style="2" bestFit="1" customWidth="1"/>
    <col min="10" max="10" width="18.5" style="2" bestFit="1" customWidth="1"/>
    <col min="11" max="11" width="12.59765625" style="2" bestFit="1" customWidth="1"/>
    <col min="12" max="12" width="15.5" style="2" bestFit="1" customWidth="1"/>
    <col min="13" max="13" width="21.796875" style="2" bestFit="1" customWidth="1"/>
    <col min="14" max="14" width="27.19921875" style="2" bestFit="1" customWidth="1"/>
    <col min="15" max="16" width="8.69921875" style="2"/>
    <col min="17" max="17" width="9.19921875" style="2" hidden="1" customWidth="1"/>
    <col min="18" max="18" width="8.69921875" style="2"/>
    <col min="19" max="19" width="9.19921875" style="2" hidden="1" customWidth="1"/>
    <col min="20" max="21" width="8.69921875" style="2"/>
  </cols>
  <sheetData>
    <row r="1" spans="1:147" s="7" customFormat="1">
      <c r="A1" s="3" t="s">
        <v>136</v>
      </c>
      <c r="B1" s="3" t="s">
        <v>0</v>
      </c>
      <c r="C1" s="4" t="s">
        <v>138</v>
      </c>
      <c r="D1" s="3" t="s">
        <v>1</v>
      </c>
      <c r="E1" s="3" t="s">
        <v>135</v>
      </c>
      <c r="F1" s="3" t="s">
        <v>2</v>
      </c>
      <c r="G1" s="3" t="s">
        <v>137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</row>
    <row r="2" spans="1:147" s="6" customFormat="1" ht="27.95">
      <c r="A2" s="8"/>
      <c r="B2" s="9">
        <v>1</v>
      </c>
      <c r="C2" s="21" t="s">
        <v>13</v>
      </c>
      <c r="D2" s="22" t="s">
        <v>14</v>
      </c>
      <c r="E2" s="10">
        <v>110</v>
      </c>
      <c r="F2" s="11" t="s">
        <v>12</v>
      </c>
      <c r="G2" s="11">
        <v>20</v>
      </c>
      <c r="H2" s="12">
        <v>30</v>
      </c>
      <c r="I2" s="12">
        <f>Report_2026_Q2[[#This Row],[withdrawls villa ]]*Report_2026_Q2[[#This Row],[cost by unit ]]</f>
        <v>2400</v>
      </c>
      <c r="J2" s="12">
        <v>20</v>
      </c>
      <c r="K2" s="12">
        <f>Report_2026_Q2[[#This Row],[withdrawls IBN ]]*Report_2026_Q2[[#This Row],[cost by unit ]]</f>
        <v>1600</v>
      </c>
      <c r="L2" s="23">
        <v>80</v>
      </c>
      <c r="M2" s="13">
        <f>Report_2026_Q2[[#This Row],[cost villa ]]+Report_2026_Q2[[#This Row],[IBN cost ]]</f>
        <v>4000</v>
      </c>
      <c r="N2" s="24">
        <f>Report_2026_Q2[[#This Row],[3 monthes  ORDER ]]*Report_2026_Q2[[#This Row],[cost by unit ]]</f>
        <v>8800</v>
      </c>
      <c r="O2" s="5"/>
      <c r="P2" s="5"/>
      <c r="Q2" s="49">
        <f>Report_2026_Q2[[#This Row],[withdrawls villa ]]+Report_2026_Q2[[#This Row],[withdrawls IBN ]]</f>
        <v>50</v>
      </c>
      <c r="S2" s="49">
        <f>Report_2026_Q2[[#This Row],[3 monthes  ORDER ]]-Q2</f>
        <v>60</v>
      </c>
    </row>
    <row r="3" spans="1:147" s="6" customFormat="1" ht="15.6">
      <c r="A3" s="8"/>
      <c r="B3" s="9">
        <v>2</v>
      </c>
      <c r="C3" s="21" t="s">
        <v>15</v>
      </c>
      <c r="D3" s="22" t="s">
        <v>16</v>
      </c>
      <c r="E3" s="10">
        <v>0</v>
      </c>
      <c r="F3" s="11" t="s">
        <v>12</v>
      </c>
      <c r="G3" s="11">
        <v>1</v>
      </c>
      <c r="H3" s="12">
        <v>0.3</v>
      </c>
      <c r="I3" s="12">
        <f>Report_2026_Q2[[#This Row],[withdrawls villa ]]*Report_2026_Q2[[#This Row],[cost by unit ]]</f>
        <v>79.694999999999993</v>
      </c>
      <c r="J3" s="12">
        <v>0</v>
      </c>
      <c r="K3" s="12">
        <f>Report_2026_Q2[[#This Row],[withdrawls IBN ]]*Report_2026_Q2[[#This Row],[cost by unit ]]</f>
        <v>0</v>
      </c>
      <c r="L3" s="23">
        <v>265.64999999999998</v>
      </c>
      <c r="M3" s="13">
        <f>Report_2026_Q2[[#This Row],[cost villa ]]+Report_2026_Q2[[#This Row],[IBN cost ]]</f>
        <v>79.694999999999993</v>
      </c>
      <c r="N3" s="12">
        <f>Report_2026_Q2[[#This Row],[3 monthes  ORDER ]]*Report_2026_Q2[[#This Row],[cost by unit ]]</f>
        <v>0</v>
      </c>
      <c r="O3" s="5"/>
      <c r="P3" s="5"/>
      <c r="Q3" s="49">
        <f>Report_2026_Q2[[#This Row],[withdrawls villa ]]+Report_2026_Q2[[#This Row],[withdrawls IBN ]]</f>
        <v>0.3</v>
      </c>
      <c r="S3" s="49">
        <f>Report_2026_Q2[[#This Row],[3 monthes  ORDER ]]-Q3</f>
        <v>-0.3</v>
      </c>
    </row>
    <row r="4" spans="1:147" s="6" customFormat="1" ht="27.95">
      <c r="A4" s="8"/>
      <c r="B4" s="9">
        <v>3</v>
      </c>
      <c r="C4" s="25" t="s">
        <v>17</v>
      </c>
      <c r="D4" s="22" t="s">
        <v>16</v>
      </c>
      <c r="E4" s="10">
        <v>3</v>
      </c>
      <c r="F4" s="11" t="s">
        <v>12</v>
      </c>
      <c r="G4" s="11">
        <v>1</v>
      </c>
      <c r="H4" s="12">
        <v>0.4</v>
      </c>
      <c r="I4" s="12">
        <f>Report_2026_Q2[[#This Row],[withdrawls villa ]]*Report_2026_Q2[[#This Row],[cost by unit ]]</f>
        <v>134.4</v>
      </c>
      <c r="J4" s="12">
        <v>0</v>
      </c>
      <c r="K4" s="12">
        <f>Report_2026_Q2[[#This Row],[withdrawls IBN ]]*Report_2026_Q2[[#This Row],[cost by unit ]]</f>
        <v>0</v>
      </c>
      <c r="L4" s="23">
        <v>336</v>
      </c>
      <c r="M4" s="13">
        <f>Report_2026_Q2[[#This Row],[cost villa ]]+Report_2026_Q2[[#This Row],[IBN cost ]]</f>
        <v>134.4</v>
      </c>
      <c r="N4" s="12">
        <f>Report_2026_Q2[[#This Row],[3 monthes  ORDER ]]*Report_2026_Q2[[#This Row],[cost by unit ]]</f>
        <v>1008</v>
      </c>
      <c r="O4" s="5"/>
      <c r="P4" s="5"/>
      <c r="Q4" s="49">
        <f>Report_2026_Q2[[#This Row],[withdrawls villa ]]+Report_2026_Q2[[#This Row],[withdrawls IBN ]]</f>
        <v>0.4</v>
      </c>
      <c r="S4" s="49">
        <f>Report_2026_Q2[[#This Row],[3 monthes  ORDER ]]-Q4</f>
        <v>2.6</v>
      </c>
    </row>
    <row r="5" spans="1:147" s="6" customFormat="1" ht="27.95">
      <c r="A5" s="8"/>
      <c r="B5" s="9">
        <v>4</v>
      </c>
      <c r="C5" s="21" t="s">
        <v>18</v>
      </c>
      <c r="D5" s="22" t="s">
        <v>16</v>
      </c>
      <c r="E5" s="10">
        <v>0</v>
      </c>
      <c r="F5" s="11" t="s">
        <v>12</v>
      </c>
      <c r="G5" s="11">
        <v>2</v>
      </c>
      <c r="H5" s="12">
        <v>0.2</v>
      </c>
      <c r="I5" s="12">
        <f>Report_2026_Q2[[#This Row],[withdrawls villa ]]*Report_2026_Q2[[#This Row],[cost by unit ]]</f>
        <v>67.2</v>
      </c>
      <c r="J5" s="12">
        <v>0</v>
      </c>
      <c r="K5" s="12">
        <f>Report_2026_Q2[[#This Row],[withdrawls IBN ]]*Report_2026_Q2[[#This Row],[cost by unit ]]</f>
        <v>0</v>
      </c>
      <c r="L5" s="23">
        <v>336</v>
      </c>
      <c r="M5" s="13">
        <f>Report_2026_Q2[[#This Row],[cost villa ]]+Report_2026_Q2[[#This Row],[IBN cost ]]</f>
        <v>67.2</v>
      </c>
      <c r="N5" s="12">
        <f>Report_2026_Q2[[#This Row],[3 monthes  ORDER ]]*Report_2026_Q2[[#This Row],[cost by unit ]]</f>
        <v>0</v>
      </c>
      <c r="O5" s="5"/>
      <c r="P5" s="5"/>
      <c r="Q5" s="49">
        <f>Report_2026_Q2[[#This Row],[withdrawls villa ]]+Report_2026_Q2[[#This Row],[withdrawls IBN ]]</f>
        <v>0.2</v>
      </c>
      <c r="S5" s="49">
        <f>Report_2026_Q2[[#This Row],[3 monthes  ORDER ]]-Q5</f>
        <v>-0.2</v>
      </c>
    </row>
    <row r="6" spans="1:147" s="6" customFormat="1" ht="15.6">
      <c r="A6" s="8"/>
      <c r="B6" s="9">
        <v>5</v>
      </c>
      <c r="C6" s="21" t="s">
        <v>19</v>
      </c>
      <c r="D6" s="22" t="s">
        <v>16</v>
      </c>
      <c r="E6" s="10">
        <v>0</v>
      </c>
      <c r="F6" s="11" t="s">
        <v>12</v>
      </c>
      <c r="G6" s="11">
        <v>1</v>
      </c>
      <c r="H6" s="12">
        <v>0.4</v>
      </c>
      <c r="I6" s="12">
        <f>Report_2026_Q2[[#This Row],[withdrawls villa ]]*Report_2026_Q2[[#This Row],[cost by unit ]]</f>
        <v>134.4</v>
      </c>
      <c r="J6" s="12">
        <v>0</v>
      </c>
      <c r="K6" s="12">
        <f>Report_2026_Q2[[#This Row],[withdrawls IBN ]]*Report_2026_Q2[[#This Row],[cost by unit ]]</f>
        <v>0</v>
      </c>
      <c r="L6" s="23">
        <v>336</v>
      </c>
      <c r="M6" s="13">
        <f>Report_2026_Q2[[#This Row],[cost villa ]]+Report_2026_Q2[[#This Row],[IBN cost ]]</f>
        <v>134.4</v>
      </c>
      <c r="N6" s="12">
        <f>Report_2026_Q2[[#This Row],[3 monthes  ORDER ]]*Report_2026_Q2[[#This Row],[cost by unit ]]</f>
        <v>0</v>
      </c>
      <c r="O6" s="5"/>
      <c r="P6" s="5"/>
      <c r="Q6" s="49">
        <f>Report_2026_Q2[[#This Row],[withdrawls villa ]]+Report_2026_Q2[[#This Row],[withdrawls IBN ]]</f>
        <v>0.4</v>
      </c>
      <c r="S6" s="49">
        <f>Report_2026_Q2[[#This Row],[3 monthes  ORDER ]]-Q6</f>
        <v>-0.4</v>
      </c>
    </row>
    <row r="7" spans="1:147" s="6" customFormat="1" ht="15.6">
      <c r="A7" s="8"/>
      <c r="B7" s="9">
        <v>6</v>
      </c>
      <c r="C7" s="21" t="s">
        <v>20</v>
      </c>
      <c r="D7" s="22" t="s">
        <v>16</v>
      </c>
      <c r="E7" s="10">
        <v>0</v>
      </c>
      <c r="F7" s="11" t="s">
        <v>12</v>
      </c>
      <c r="G7" s="11">
        <v>1</v>
      </c>
      <c r="H7" s="12">
        <v>0.5</v>
      </c>
      <c r="I7" s="12">
        <f>Report_2026_Q2[[#This Row],[withdrawls villa ]]*Report_2026_Q2[[#This Row],[cost by unit ]]</f>
        <v>168</v>
      </c>
      <c r="J7" s="12">
        <v>0</v>
      </c>
      <c r="K7" s="12">
        <f>Report_2026_Q2[[#This Row],[withdrawls IBN ]]*Report_2026_Q2[[#This Row],[cost by unit ]]</f>
        <v>0</v>
      </c>
      <c r="L7" s="23">
        <v>336</v>
      </c>
      <c r="M7" s="13">
        <f>Report_2026_Q2[[#This Row],[cost villa ]]+Report_2026_Q2[[#This Row],[IBN cost ]]</f>
        <v>168</v>
      </c>
      <c r="N7" s="12">
        <f>Report_2026_Q2[[#This Row],[3 monthes  ORDER ]]*Report_2026_Q2[[#This Row],[cost by unit ]]</f>
        <v>0</v>
      </c>
      <c r="O7" s="5"/>
      <c r="P7" s="5"/>
      <c r="Q7" s="49">
        <f>Report_2026_Q2[[#This Row],[withdrawls villa ]]+Report_2026_Q2[[#This Row],[withdrawls IBN ]]</f>
        <v>0.5</v>
      </c>
      <c r="S7" s="49">
        <f>Report_2026_Q2[[#This Row],[3 monthes  ORDER ]]-Q7</f>
        <v>-0.5</v>
      </c>
    </row>
    <row r="8" spans="1:147" s="6" customFormat="1" ht="27.95">
      <c r="A8" s="8"/>
      <c r="B8" s="9">
        <v>7</v>
      </c>
      <c r="C8" s="21" t="s">
        <v>21</v>
      </c>
      <c r="D8" s="22" t="s">
        <v>16</v>
      </c>
      <c r="E8" s="10">
        <v>0</v>
      </c>
      <c r="F8" s="11" t="s">
        <v>12</v>
      </c>
      <c r="G8" s="11">
        <v>1</v>
      </c>
      <c r="H8" s="12">
        <v>0.2</v>
      </c>
      <c r="I8" s="12">
        <f>Report_2026_Q2[[#This Row],[withdrawls villa ]]*Report_2026_Q2[[#This Row],[cost by unit ]]</f>
        <v>67.2</v>
      </c>
      <c r="J8" s="12">
        <v>0</v>
      </c>
      <c r="K8" s="12">
        <f>Report_2026_Q2[[#This Row],[withdrawls IBN ]]*Report_2026_Q2[[#This Row],[cost by unit ]]</f>
        <v>0</v>
      </c>
      <c r="L8" s="23">
        <v>336</v>
      </c>
      <c r="M8" s="13">
        <f>Report_2026_Q2[[#This Row],[cost villa ]]+Report_2026_Q2[[#This Row],[IBN cost ]]</f>
        <v>67.2</v>
      </c>
      <c r="N8" s="12">
        <f>Report_2026_Q2[[#This Row],[3 monthes  ORDER ]]*Report_2026_Q2[[#This Row],[cost by unit ]]</f>
        <v>0</v>
      </c>
      <c r="O8" s="5"/>
      <c r="P8" s="5"/>
      <c r="Q8" s="49">
        <f>Report_2026_Q2[[#This Row],[withdrawls villa ]]+Report_2026_Q2[[#This Row],[withdrawls IBN ]]</f>
        <v>0.2</v>
      </c>
      <c r="S8" s="49">
        <f>Report_2026_Q2[[#This Row],[3 monthes  ORDER ]]-Q8</f>
        <v>-0.2</v>
      </c>
    </row>
    <row r="9" spans="1:147" s="6" customFormat="1" ht="15.6">
      <c r="A9" s="8"/>
      <c r="B9" s="9">
        <v>8</v>
      </c>
      <c r="C9" s="21" t="s">
        <v>22</v>
      </c>
      <c r="D9" s="22" t="s">
        <v>16</v>
      </c>
      <c r="E9" s="10">
        <v>0</v>
      </c>
      <c r="F9" s="11" t="s">
        <v>12</v>
      </c>
      <c r="G9" s="11">
        <v>1</v>
      </c>
      <c r="H9" s="12">
        <v>0.6</v>
      </c>
      <c r="I9" s="12">
        <f>Report_2026_Q2[[#This Row],[withdrawls villa ]]*Report_2026_Q2[[#This Row],[cost by unit ]]</f>
        <v>126</v>
      </c>
      <c r="J9" s="12">
        <v>0</v>
      </c>
      <c r="K9" s="12">
        <f>Report_2026_Q2[[#This Row],[withdrawls IBN ]]*Report_2026_Q2[[#This Row],[cost by unit ]]</f>
        <v>0</v>
      </c>
      <c r="L9" s="23">
        <v>210</v>
      </c>
      <c r="M9" s="13">
        <f>Report_2026_Q2[[#This Row],[cost villa ]]+Report_2026_Q2[[#This Row],[IBN cost ]]</f>
        <v>126</v>
      </c>
      <c r="N9" s="12">
        <f>Report_2026_Q2[[#This Row],[3 monthes  ORDER ]]*Report_2026_Q2[[#This Row],[cost by unit ]]</f>
        <v>0</v>
      </c>
      <c r="O9" s="5"/>
      <c r="P9" s="5"/>
      <c r="Q9" s="49">
        <f>Report_2026_Q2[[#This Row],[withdrawls villa ]]+Report_2026_Q2[[#This Row],[withdrawls IBN ]]</f>
        <v>0.6</v>
      </c>
      <c r="S9" s="49">
        <f>Report_2026_Q2[[#This Row],[3 monthes  ORDER ]]-Q9</f>
        <v>-0.6</v>
      </c>
    </row>
    <row r="10" spans="1:147" s="6" customFormat="1" ht="15.6">
      <c r="A10" s="8"/>
      <c r="B10" s="9">
        <v>9</v>
      </c>
      <c r="C10" s="21" t="s">
        <v>23</v>
      </c>
      <c r="D10" s="22" t="s">
        <v>24</v>
      </c>
      <c r="E10" s="10">
        <v>40</v>
      </c>
      <c r="F10" s="11" t="s">
        <v>12</v>
      </c>
      <c r="G10" s="11">
        <v>20</v>
      </c>
      <c r="H10" s="12">
        <v>20</v>
      </c>
      <c r="I10" s="12">
        <f>Report_2026_Q2[[#This Row],[withdrawls villa ]]*Report_2026_Q2[[#This Row],[cost by unit ]]</f>
        <v>210</v>
      </c>
      <c r="J10" s="12">
        <v>0</v>
      </c>
      <c r="K10" s="12">
        <f>Report_2026_Q2[[#This Row],[withdrawls IBN ]]*Report_2026_Q2[[#This Row],[cost by unit ]]</f>
        <v>0</v>
      </c>
      <c r="L10" s="23">
        <v>10.5</v>
      </c>
      <c r="M10" s="13">
        <f>Report_2026_Q2[[#This Row],[cost villa ]]+Report_2026_Q2[[#This Row],[IBN cost ]]</f>
        <v>210</v>
      </c>
      <c r="N10" s="12">
        <f>Report_2026_Q2[[#This Row],[3 monthes  ORDER ]]*Report_2026_Q2[[#This Row],[cost by unit ]]</f>
        <v>420</v>
      </c>
      <c r="O10" s="5"/>
      <c r="P10" s="5"/>
      <c r="Q10" s="49">
        <f>Report_2026_Q2[[#This Row],[withdrawls villa ]]+Report_2026_Q2[[#This Row],[withdrawls IBN ]]</f>
        <v>20</v>
      </c>
      <c r="S10" s="49">
        <f>Report_2026_Q2[[#This Row],[3 monthes  ORDER ]]-Q10</f>
        <v>20</v>
      </c>
    </row>
    <row r="11" spans="1:147" s="6" customFormat="1" ht="15.6">
      <c r="A11" s="8"/>
      <c r="B11" s="9">
        <v>10</v>
      </c>
      <c r="C11" s="21" t="s">
        <v>25</v>
      </c>
      <c r="D11" s="22" t="s">
        <v>24</v>
      </c>
      <c r="E11" s="10">
        <v>35</v>
      </c>
      <c r="F11" s="11" t="s">
        <v>12</v>
      </c>
      <c r="G11" s="11">
        <v>9</v>
      </c>
      <c r="H11" s="12">
        <v>18</v>
      </c>
      <c r="I11" s="12">
        <f>Report_2026_Q2[[#This Row],[withdrawls villa ]]*Report_2026_Q2[[#This Row],[cost by unit ]]</f>
        <v>189</v>
      </c>
      <c r="J11" s="12">
        <v>0</v>
      </c>
      <c r="K11" s="12">
        <f>Report_2026_Q2[[#This Row],[withdrawls IBN ]]*Report_2026_Q2[[#This Row],[cost by unit ]]</f>
        <v>0</v>
      </c>
      <c r="L11" s="23">
        <v>10.5</v>
      </c>
      <c r="M11" s="13">
        <f>Report_2026_Q2[[#This Row],[cost villa ]]+Report_2026_Q2[[#This Row],[IBN cost ]]</f>
        <v>189</v>
      </c>
      <c r="N11" s="12">
        <f>Report_2026_Q2[[#This Row],[3 monthes  ORDER ]]*Report_2026_Q2[[#This Row],[cost by unit ]]</f>
        <v>367.5</v>
      </c>
      <c r="O11" s="5"/>
      <c r="P11" s="5"/>
      <c r="Q11" s="49">
        <f>Report_2026_Q2[[#This Row],[withdrawls villa ]]+Report_2026_Q2[[#This Row],[withdrawls IBN ]]</f>
        <v>18</v>
      </c>
      <c r="S11" s="49">
        <f>Report_2026_Q2[[#This Row],[3 monthes  ORDER ]]-Q11</f>
        <v>17</v>
      </c>
    </row>
    <row r="12" spans="1:147" s="6" customFormat="1" ht="27.95">
      <c r="A12" s="8"/>
      <c r="B12" s="9">
        <v>11</v>
      </c>
      <c r="C12" s="21" t="s">
        <v>26</v>
      </c>
      <c r="D12" s="22" t="s">
        <v>24</v>
      </c>
      <c r="E12" s="10">
        <v>50</v>
      </c>
      <c r="F12" s="11" t="s">
        <v>12</v>
      </c>
      <c r="G12" s="11">
        <v>4</v>
      </c>
      <c r="H12" s="12">
        <v>22</v>
      </c>
      <c r="I12" s="12">
        <f>Report_2026_Q2[[#This Row],[withdrawls villa ]]*Report_2026_Q2[[#This Row],[cost by unit ]]</f>
        <v>231</v>
      </c>
      <c r="J12" s="12">
        <v>0</v>
      </c>
      <c r="K12" s="12">
        <f>Report_2026_Q2[[#This Row],[withdrawls IBN ]]*Report_2026_Q2[[#This Row],[cost by unit ]]</f>
        <v>0</v>
      </c>
      <c r="L12" s="23">
        <v>10.5</v>
      </c>
      <c r="M12" s="13">
        <f>Report_2026_Q2[[#This Row],[cost villa ]]+Report_2026_Q2[[#This Row],[IBN cost ]]</f>
        <v>231</v>
      </c>
      <c r="N12" s="12">
        <f>Report_2026_Q2[[#This Row],[3 monthes  ORDER ]]*Report_2026_Q2[[#This Row],[cost by unit ]]</f>
        <v>525</v>
      </c>
      <c r="O12" s="5"/>
      <c r="P12" s="5"/>
      <c r="Q12" s="49">
        <f>Report_2026_Q2[[#This Row],[withdrawls villa ]]+Report_2026_Q2[[#This Row],[withdrawls IBN ]]</f>
        <v>22</v>
      </c>
      <c r="S12" s="49">
        <f>Report_2026_Q2[[#This Row],[3 monthes  ORDER ]]-Q12</f>
        <v>28</v>
      </c>
    </row>
    <row r="13" spans="1:147" s="6" customFormat="1" ht="27.95">
      <c r="A13" s="8"/>
      <c r="B13" s="9">
        <v>12</v>
      </c>
      <c r="C13" s="21" t="s">
        <v>27</v>
      </c>
      <c r="D13" s="22" t="s">
        <v>28</v>
      </c>
      <c r="E13" s="10">
        <v>15</v>
      </c>
      <c r="F13" s="11" t="s">
        <v>12</v>
      </c>
      <c r="G13" s="11">
        <v>1</v>
      </c>
      <c r="H13" s="12">
        <v>7</v>
      </c>
      <c r="I13" s="12">
        <f>Report_2026_Q2[[#This Row],[withdrawls villa ]]*Report_2026_Q2[[#This Row],[cost by unit ]]</f>
        <v>115.11500000000001</v>
      </c>
      <c r="J13" s="12">
        <v>0</v>
      </c>
      <c r="K13" s="12">
        <f>Report_2026_Q2[[#This Row],[withdrawls IBN ]]*Report_2026_Q2[[#This Row],[cost by unit ]]</f>
        <v>0</v>
      </c>
      <c r="L13" s="23">
        <v>16.445</v>
      </c>
      <c r="M13" s="13">
        <f>Report_2026_Q2[[#This Row],[cost villa ]]+Report_2026_Q2[[#This Row],[IBN cost ]]</f>
        <v>115.11500000000001</v>
      </c>
      <c r="N13" s="12">
        <f>Report_2026_Q2[[#This Row],[3 monthes  ORDER ]]*Report_2026_Q2[[#This Row],[cost by unit ]]</f>
        <v>246.67500000000001</v>
      </c>
      <c r="O13" s="5"/>
      <c r="P13" s="5"/>
      <c r="Q13" s="49">
        <f>Report_2026_Q2[[#This Row],[withdrawls villa ]]+Report_2026_Q2[[#This Row],[withdrawls IBN ]]</f>
        <v>7</v>
      </c>
      <c r="S13" s="49">
        <f>Report_2026_Q2[[#This Row],[3 monthes  ORDER ]]-Q13</f>
        <v>8</v>
      </c>
    </row>
    <row r="14" spans="1:147" s="6" customFormat="1" ht="15.6">
      <c r="A14" s="8"/>
      <c r="B14" s="9">
        <v>13</v>
      </c>
      <c r="C14" s="26" t="s">
        <v>29</v>
      </c>
      <c r="D14" s="22" t="s">
        <v>30</v>
      </c>
      <c r="E14" s="10">
        <v>720</v>
      </c>
      <c r="F14" s="11" t="s">
        <v>12</v>
      </c>
      <c r="G14" s="11">
        <v>271</v>
      </c>
      <c r="H14" s="12">
        <v>182</v>
      </c>
      <c r="I14" s="12">
        <f>Report_2026_Q2[[#This Row],[withdrawls villa ]]*Report_2026_Q2[[#This Row],[cost by unit ]]</f>
        <v>2184</v>
      </c>
      <c r="J14" s="12">
        <v>130</v>
      </c>
      <c r="K14" s="12">
        <f>Report_2026_Q2[[#This Row],[withdrawls IBN ]]*Report_2026_Q2[[#This Row],[cost by unit ]]</f>
        <v>1560</v>
      </c>
      <c r="L14" s="23">
        <v>12</v>
      </c>
      <c r="M14" s="13">
        <f>Report_2026_Q2[[#This Row],[cost villa ]]+Report_2026_Q2[[#This Row],[IBN cost ]]</f>
        <v>3744</v>
      </c>
      <c r="N14" s="12">
        <f>Report_2026_Q2[[#This Row],[3 monthes  ORDER ]]*Report_2026_Q2[[#This Row],[cost by unit ]]</f>
        <v>8640</v>
      </c>
      <c r="O14" s="5"/>
      <c r="P14" s="5"/>
      <c r="Q14" s="49">
        <f>Report_2026_Q2[[#This Row],[withdrawls villa ]]+Report_2026_Q2[[#This Row],[withdrawls IBN ]]</f>
        <v>312</v>
      </c>
      <c r="S14" s="49">
        <f>Report_2026_Q2[[#This Row],[3 monthes  ORDER ]]-Q14</f>
        <v>408</v>
      </c>
    </row>
    <row r="15" spans="1:147" s="6" customFormat="1" ht="15.6">
      <c r="A15" s="8"/>
      <c r="B15" s="9">
        <v>14</v>
      </c>
      <c r="C15" s="26" t="s">
        <v>31</v>
      </c>
      <c r="D15" s="22" t="s">
        <v>24</v>
      </c>
      <c r="E15" s="10">
        <v>0</v>
      </c>
      <c r="F15" s="11" t="s">
        <v>12</v>
      </c>
      <c r="G15" s="11">
        <v>9</v>
      </c>
      <c r="H15" s="12">
        <v>6</v>
      </c>
      <c r="I15" s="12">
        <f>Report_2026_Q2[[#This Row],[withdrawls villa ]]*Report_2026_Q2[[#This Row],[cost by unit ]]</f>
        <v>288</v>
      </c>
      <c r="J15" s="12">
        <v>0</v>
      </c>
      <c r="K15" s="12">
        <f>Report_2026_Q2[[#This Row],[withdrawls IBN ]]*Report_2026_Q2[[#This Row],[cost by unit ]]</f>
        <v>0</v>
      </c>
      <c r="L15" s="23">
        <v>48</v>
      </c>
      <c r="M15" s="13">
        <f>Report_2026_Q2[[#This Row],[cost villa ]]+Report_2026_Q2[[#This Row],[IBN cost ]]</f>
        <v>288</v>
      </c>
      <c r="N15" s="12">
        <f>Report_2026_Q2[[#This Row],[3 monthes  ORDER ]]*Report_2026_Q2[[#This Row],[cost by unit ]]</f>
        <v>0</v>
      </c>
      <c r="O15" s="5"/>
      <c r="P15" s="5"/>
      <c r="Q15" s="49">
        <f>Report_2026_Q2[[#This Row],[withdrawls villa ]]+Report_2026_Q2[[#This Row],[withdrawls IBN ]]</f>
        <v>6</v>
      </c>
      <c r="S15" s="49">
        <f>Report_2026_Q2[[#This Row],[3 monthes  ORDER ]]-Q15</f>
        <v>-6</v>
      </c>
    </row>
    <row r="16" spans="1:147" s="6" customFormat="1" ht="15.6">
      <c r="A16" s="8"/>
      <c r="B16" s="9">
        <v>15</v>
      </c>
      <c r="C16" s="26" t="s">
        <v>32</v>
      </c>
      <c r="D16" s="22" t="s">
        <v>24</v>
      </c>
      <c r="E16" s="10">
        <v>0</v>
      </c>
      <c r="F16" s="11" t="s">
        <v>12</v>
      </c>
      <c r="G16" s="11">
        <v>12</v>
      </c>
      <c r="H16" s="12">
        <v>4</v>
      </c>
      <c r="I16" s="12">
        <f>Report_2026_Q2[[#This Row],[withdrawls villa ]]*Report_2026_Q2[[#This Row],[cost by unit ]]</f>
        <v>210</v>
      </c>
      <c r="J16" s="12">
        <v>0</v>
      </c>
      <c r="K16" s="12">
        <f>Report_2026_Q2[[#This Row],[withdrawls IBN ]]*Report_2026_Q2[[#This Row],[cost by unit ]]</f>
        <v>0</v>
      </c>
      <c r="L16" s="23">
        <v>52.5</v>
      </c>
      <c r="M16" s="13">
        <f>Report_2026_Q2[[#This Row],[cost villa ]]+Report_2026_Q2[[#This Row],[IBN cost ]]</f>
        <v>210</v>
      </c>
      <c r="N16" s="12">
        <f>Report_2026_Q2[[#This Row],[3 monthes  ORDER ]]*Report_2026_Q2[[#This Row],[cost by unit ]]</f>
        <v>0</v>
      </c>
      <c r="O16" s="5"/>
      <c r="P16" s="5"/>
      <c r="Q16" s="49">
        <f>Report_2026_Q2[[#This Row],[withdrawls villa ]]+Report_2026_Q2[[#This Row],[withdrawls IBN ]]</f>
        <v>4</v>
      </c>
      <c r="S16" s="49">
        <f>Report_2026_Q2[[#This Row],[3 monthes  ORDER ]]-Q16</f>
        <v>-4</v>
      </c>
    </row>
    <row r="17" spans="1:19" s="6" customFormat="1" ht="15.6">
      <c r="A17" s="8"/>
      <c r="B17" s="9">
        <v>16</v>
      </c>
      <c r="C17" s="26" t="s">
        <v>33</v>
      </c>
      <c r="D17" s="22" t="s">
        <v>24</v>
      </c>
      <c r="E17" s="10">
        <v>0</v>
      </c>
      <c r="F17" s="11" t="s">
        <v>12</v>
      </c>
      <c r="G17" s="11">
        <v>8</v>
      </c>
      <c r="H17" s="12">
        <v>2</v>
      </c>
      <c r="I17" s="12">
        <f>Report_2026_Q2[[#This Row],[withdrawls villa ]]*Report_2026_Q2[[#This Row],[cost by unit ]]</f>
        <v>100.8</v>
      </c>
      <c r="J17" s="12">
        <v>0</v>
      </c>
      <c r="K17" s="12">
        <f>Report_2026_Q2[[#This Row],[withdrawls IBN ]]*Report_2026_Q2[[#This Row],[cost by unit ]]</f>
        <v>0</v>
      </c>
      <c r="L17" s="23">
        <v>50.4</v>
      </c>
      <c r="M17" s="13">
        <f>Report_2026_Q2[[#This Row],[cost villa ]]+Report_2026_Q2[[#This Row],[IBN cost ]]</f>
        <v>100.8</v>
      </c>
      <c r="N17" s="12">
        <f>Report_2026_Q2[[#This Row],[3 monthes  ORDER ]]*Report_2026_Q2[[#This Row],[cost by unit ]]</f>
        <v>0</v>
      </c>
      <c r="O17" s="5"/>
      <c r="P17" s="5"/>
      <c r="Q17" s="49">
        <f>Report_2026_Q2[[#This Row],[withdrawls villa ]]+Report_2026_Q2[[#This Row],[withdrawls IBN ]]</f>
        <v>2</v>
      </c>
      <c r="S17" s="49">
        <f>Report_2026_Q2[[#This Row],[3 monthes  ORDER ]]-Q17</f>
        <v>-2</v>
      </c>
    </row>
    <row r="18" spans="1:19" s="6" customFormat="1" ht="15.6">
      <c r="A18" s="8"/>
      <c r="B18" s="9">
        <v>17</v>
      </c>
      <c r="C18" s="26" t="s">
        <v>34</v>
      </c>
      <c r="D18" s="22" t="s">
        <v>24</v>
      </c>
      <c r="E18" s="10">
        <v>0</v>
      </c>
      <c r="F18" s="11" t="s">
        <v>12</v>
      </c>
      <c r="G18" s="11">
        <v>4</v>
      </c>
      <c r="H18" s="12">
        <v>2</v>
      </c>
      <c r="I18" s="12">
        <f>Report_2026_Q2[[#This Row],[withdrawls villa ]]*Report_2026_Q2[[#This Row],[cost by unit ]]</f>
        <v>96</v>
      </c>
      <c r="J18" s="12">
        <v>0</v>
      </c>
      <c r="K18" s="12">
        <f>Report_2026_Q2[[#This Row],[withdrawls IBN ]]*Report_2026_Q2[[#This Row],[cost by unit ]]</f>
        <v>0</v>
      </c>
      <c r="L18" s="23">
        <v>48</v>
      </c>
      <c r="M18" s="13">
        <f>Report_2026_Q2[[#This Row],[cost villa ]]+Report_2026_Q2[[#This Row],[IBN cost ]]</f>
        <v>96</v>
      </c>
      <c r="N18" s="12">
        <f>Report_2026_Q2[[#This Row],[3 monthes  ORDER ]]*Report_2026_Q2[[#This Row],[cost by unit ]]</f>
        <v>0</v>
      </c>
      <c r="O18" s="5"/>
      <c r="P18" s="5"/>
      <c r="Q18" s="49">
        <f>Report_2026_Q2[[#This Row],[withdrawls villa ]]+Report_2026_Q2[[#This Row],[withdrawls IBN ]]</f>
        <v>2</v>
      </c>
      <c r="S18" s="49">
        <f>Report_2026_Q2[[#This Row],[3 monthes  ORDER ]]-Q18</f>
        <v>-2</v>
      </c>
    </row>
    <row r="19" spans="1:19" s="6" customFormat="1" ht="19.5" customHeight="1">
      <c r="A19" s="8"/>
      <c r="B19" s="9">
        <v>18</v>
      </c>
      <c r="C19" s="26" t="s">
        <v>35</v>
      </c>
      <c r="D19" s="22" t="s">
        <v>24</v>
      </c>
      <c r="E19" s="10">
        <v>0</v>
      </c>
      <c r="F19" s="11" t="s">
        <v>12</v>
      </c>
      <c r="G19" s="11">
        <v>8</v>
      </c>
      <c r="H19" s="12">
        <v>3</v>
      </c>
      <c r="I19" s="12">
        <f>Report_2026_Q2[[#This Row],[withdrawls villa ]]*Report_2026_Q2[[#This Row],[cost by unit ]]</f>
        <v>245.70000000000002</v>
      </c>
      <c r="J19" s="12">
        <v>0</v>
      </c>
      <c r="K19" s="12">
        <f>Report_2026_Q2[[#This Row],[withdrawls IBN ]]*Report_2026_Q2[[#This Row],[cost by unit ]]</f>
        <v>0</v>
      </c>
      <c r="L19" s="23">
        <v>81.900000000000006</v>
      </c>
      <c r="M19" s="13">
        <f>Report_2026_Q2[[#This Row],[cost villa ]]+Report_2026_Q2[[#This Row],[IBN cost ]]</f>
        <v>245.70000000000002</v>
      </c>
      <c r="N19" s="12">
        <f>Report_2026_Q2[[#This Row],[3 monthes  ORDER ]]*Report_2026_Q2[[#This Row],[cost by unit ]]</f>
        <v>0</v>
      </c>
      <c r="O19" s="5"/>
      <c r="P19" s="5"/>
      <c r="Q19" s="49">
        <f>Report_2026_Q2[[#This Row],[withdrawls villa ]]+Report_2026_Q2[[#This Row],[withdrawls IBN ]]</f>
        <v>3</v>
      </c>
      <c r="S19" s="49">
        <f>Report_2026_Q2[[#This Row],[3 monthes  ORDER ]]-Q19</f>
        <v>-3</v>
      </c>
    </row>
    <row r="20" spans="1:19" s="6" customFormat="1" ht="15.6">
      <c r="A20" s="8"/>
      <c r="B20" s="9">
        <v>19</v>
      </c>
      <c r="C20" s="26" t="s">
        <v>36</v>
      </c>
      <c r="D20" s="22" t="s">
        <v>24</v>
      </c>
      <c r="E20" s="10">
        <v>0</v>
      </c>
      <c r="F20" s="11" t="s">
        <v>12</v>
      </c>
      <c r="G20" s="11">
        <v>9</v>
      </c>
      <c r="H20" s="12">
        <v>2</v>
      </c>
      <c r="I20" s="12">
        <f>Report_2026_Q2[[#This Row],[withdrawls villa ]]*Report_2026_Q2[[#This Row],[cost by unit ]]</f>
        <v>42</v>
      </c>
      <c r="J20" s="12">
        <v>0</v>
      </c>
      <c r="K20" s="12">
        <f>Report_2026_Q2[[#This Row],[withdrawls IBN ]]*Report_2026_Q2[[#This Row],[cost by unit ]]</f>
        <v>0</v>
      </c>
      <c r="L20" s="23">
        <v>21</v>
      </c>
      <c r="M20" s="13">
        <f>Report_2026_Q2[[#This Row],[cost villa ]]+Report_2026_Q2[[#This Row],[IBN cost ]]</f>
        <v>42</v>
      </c>
      <c r="N20" s="12">
        <f>Report_2026_Q2[[#This Row],[3 monthes  ORDER ]]*Report_2026_Q2[[#This Row],[cost by unit ]]</f>
        <v>0</v>
      </c>
      <c r="O20" s="5"/>
      <c r="P20" s="5"/>
      <c r="Q20" s="49">
        <f>Report_2026_Q2[[#This Row],[withdrawls villa ]]+Report_2026_Q2[[#This Row],[withdrawls IBN ]]</f>
        <v>2</v>
      </c>
      <c r="S20" s="49">
        <f>Report_2026_Q2[[#This Row],[3 monthes  ORDER ]]-Q20</f>
        <v>-2</v>
      </c>
    </row>
    <row r="21" spans="1:19" s="6" customFormat="1" ht="15.6">
      <c r="A21" s="8"/>
      <c r="B21" s="9">
        <v>20</v>
      </c>
      <c r="C21" s="26" t="s">
        <v>37</v>
      </c>
      <c r="D21" s="22" t="s">
        <v>24</v>
      </c>
      <c r="E21" s="10">
        <v>0</v>
      </c>
      <c r="F21" s="11" t="s">
        <v>12</v>
      </c>
      <c r="G21" s="11">
        <v>10</v>
      </c>
      <c r="H21" s="12">
        <v>4</v>
      </c>
      <c r="I21" s="12">
        <f>Report_2026_Q2[[#This Row],[withdrawls villa ]]*Report_2026_Q2[[#This Row],[cost by unit ]]</f>
        <v>336</v>
      </c>
      <c r="J21" s="12">
        <v>0</v>
      </c>
      <c r="K21" s="12">
        <f>Report_2026_Q2[[#This Row],[withdrawls IBN ]]*Report_2026_Q2[[#This Row],[cost by unit ]]</f>
        <v>0</v>
      </c>
      <c r="L21" s="23">
        <v>84</v>
      </c>
      <c r="M21" s="13">
        <f>Report_2026_Q2[[#This Row],[cost villa ]]+Report_2026_Q2[[#This Row],[IBN cost ]]</f>
        <v>336</v>
      </c>
      <c r="N21" s="12">
        <f>Report_2026_Q2[[#This Row],[3 monthes  ORDER ]]*Report_2026_Q2[[#This Row],[cost by unit ]]</f>
        <v>0</v>
      </c>
      <c r="O21" s="5"/>
      <c r="P21" s="5"/>
      <c r="Q21" s="49">
        <f>Report_2026_Q2[[#This Row],[withdrawls villa ]]+Report_2026_Q2[[#This Row],[withdrawls IBN ]]</f>
        <v>4</v>
      </c>
      <c r="S21" s="49">
        <f>Report_2026_Q2[[#This Row],[3 monthes  ORDER ]]-Q21</f>
        <v>-4</v>
      </c>
    </row>
    <row r="22" spans="1:19" s="6" customFormat="1" ht="15.6">
      <c r="A22" s="8"/>
      <c r="B22" s="9">
        <v>21</v>
      </c>
      <c r="C22" s="26" t="s">
        <v>38</v>
      </c>
      <c r="D22" s="22" t="s">
        <v>24</v>
      </c>
      <c r="E22" s="10">
        <v>0</v>
      </c>
      <c r="F22" s="11" t="s">
        <v>12</v>
      </c>
      <c r="G22" s="11">
        <v>22</v>
      </c>
      <c r="H22" s="12">
        <v>8</v>
      </c>
      <c r="I22" s="12">
        <f>Report_2026_Q2[[#This Row],[withdrawls villa ]]*Report_2026_Q2[[#This Row],[cost by unit ]]</f>
        <v>420</v>
      </c>
      <c r="J22" s="12">
        <v>0</v>
      </c>
      <c r="K22" s="12">
        <f>Report_2026_Q2[[#This Row],[withdrawls IBN ]]*Report_2026_Q2[[#This Row],[cost by unit ]]</f>
        <v>0</v>
      </c>
      <c r="L22" s="23">
        <v>52.5</v>
      </c>
      <c r="M22" s="13">
        <f>Report_2026_Q2[[#This Row],[cost villa ]]+Report_2026_Q2[[#This Row],[IBN cost ]]</f>
        <v>420</v>
      </c>
      <c r="N22" s="12">
        <f>Report_2026_Q2[[#This Row],[3 monthes  ORDER ]]*Report_2026_Q2[[#This Row],[cost by unit ]]</f>
        <v>0</v>
      </c>
      <c r="O22" s="5"/>
      <c r="P22" s="5"/>
      <c r="Q22" s="49">
        <f>Report_2026_Q2[[#This Row],[withdrawls villa ]]+Report_2026_Q2[[#This Row],[withdrawls IBN ]]</f>
        <v>8</v>
      </c>
      <c r="S22" s="49">
        <f>Report_2026_Q2[[#This Row],[3 monthes  ORDER ]]-Q22</f>
        <v>-8</v>
      </c>
    </row>
    <row r="23" spans="1:19" s="6" customFormat="1" ht="15.6">
      <c r="A23" s="8"/>
      <c r="B23" s="9">
        <v>22</v>
      </c>
      <c r="C23" s="26" t="s">
        <v>39</v>
      </c>
      <c r="D23" s="22" t="s">
        <v>24</v>
      </c>
      <c r="E23" s="10">
        <v>0</v>
      </c>
      <c r="F23" s="11" t="s">
        <v>12</v>
      </c>
      <c r="G23" s="11">
        <v>8</v>
      </c>
      <c r="H23" s="12">
        <v>3</v>
      </c>
      <c r="I23" s="12">
        <f>Report_2026_Q2[[#This Row],[withdrawls villa ]]*Report_2026_Q2[[#This Row],[cost by unit ]]</f>
        <v>151.19999999999999</v>
      </c>
      <c r="J23" s="12">
        <v>0</v>
      </c>
      <c r="K23" s="12">
        <f>Report_2026_Q2[[#This Row],[withdrawls IBN ]]*Report_2026_Q2[[#This Row],[cost by unit ]]</f>
        <v>0</v>
      </c>
      <c r="L23" s="23">
        <v>50.4</v>
      </c>
      <c r="M23" s="13">
        <f>Report_2026_Q2[[#This Row],[cost villa ]]+Report_2026_Q2[[#This Row],[IBN cost ]]</f>
        <v>151.19999999999999</v>
      </c>
      <c r="N23" s="12">
        <f>Report_2026_Q2[[#This Row],[3 monthes  ORDER ]]*Report_2026_Q2[[#This Row],[cost by unit ]]</f>
        <v>0</v>
      </c>
      <c r="O23" s="5"/>
      <c r="P23" s="5"/>
      <c r="Q23" s="49">
        <f>Report_2026_Q2[[#This Row],[withdrawls villa ]]+Report_2026_Q2[[#This Row],[withdrawls IBN ]]</f>
        <v>3</v>
      </c>
      <c r="S23" s="49">
        <f>Report_2026_Q2[[#This Row],[3 monthes  ORDER ]]-Q23</f>
        <v>-3</v>
      </c>
    </row>
    <row r="24" spans="1:19" s="6" customFormat="1" ht="15.6">
      <c r="A24" s="8"/>
      <c r="B24" s="9">
        <v>23</v>
      </c>
      <c r="C24" s="26" t="s">
        <v>40</v>
      </c>
      <c r="D24" s="22" t="s">
        <v>24</v>
      </c>
      <c r="E24" s="10">
        <v>0</v>
      </c>
      <c r="F24" s="11" t="s">
        <v>12</v>
      </c>
      <c r="G24" s="11">
        <v>2</v>
      </c>
      <c r="H24" s="12">
        <v>1</v>
      </c>
      <c r="I24" s="12">
        <f>Report_2026_Q2[[#This Row],[withdrawls villa ]]*Report_2026_Q2[[#This Row],[cost by unit ]]</f>
        <v>52.5</v>
      </c>
      <c r="J24" s="12">
        <v>0</v>
      </c>
      <c r="K24" s="12">
        <f>Report_2026_Q2[[#This Row],[withdrawls IBN ]]*Report_2026_Q2[[#This Row],[cost by unit ]]</f>
        <v>0</v>
      </c>
      <c r="L24" s="23">
        <v>52.5</v>
      </c>
      <c r="M24" s="13">
        <f>Report_2026_Q2[[#This Row],[cost villa ]]+Report_2026_Q2[[#This Row],[IBN cost ]]</f>
        <v>52.5</v>
      </c>
      <c r="N24" s="12">
        <f>Report_2026_Q2[[#This Row],[3 monthes  ORDER ]]*Report_2026_Q2[[#This Row],[cost by unit ]]</f>
        <v>0</v>
      </c>
      <c r="O24" s="5"/>
      <c r="P24" s="5"/>
      <c r="Q24" s="49">
        <f>Report_2026_Q2[[#This Row],[withdrawls villa ]]+Report_2026_Q2[[#This Row],[withdrawls IBN ]]</f>
        <v>1</v>
      </c>
      <c r="S24" s="49">
        <f>Report_2026_Q2[[#This Row],[3 monthes  ORDER ]]-Q24</f>
        <v>-1</v>
      </c>
    </row>
    <row r="25" spans="1:19" s="6" customFormat="1" ht="15.6">
      <c r="A25" s="8"/>
      <c r="B25" s="9">
        <v>24</v>
      </c>
      <c r="C25" s="26" t="s">
        <v>41</v>
      </c>
      <c r="D25" s="22" t="s">
        <v>24</v>
      </c>
      <c r="E25" s="10">
        <v>0</v>
      </c>
      <c r="F25" s="11" t="s">
        <v>12</v>
      </c>
      <c r="G25" s="11">
        <v>3</v>
      </c>
      <c r="H25" s="12">
        <v>1</v>
      </c>
      <c r="I25" s="12">
        <f>Report_2026_Q2[[#This Row],[withdrawls villa ]]*Report_2026_Q2[[#This Row],[cost by unit ]]</f>
        <v>52.5</v>
      </c>
      <c r="J25" s="12">
        <v>0</v>
      </c>
      <c r="K25" s="12">
        <f>Report_2026_Q2[[#This Row],[withdrawls IBN ]]*Report_2026_Q2[[#This Row],[cost by unit ]]</f>
        <v>0</v>
      </c>
      <c r="L25" s="23">
        <v>52.5</v>
      </c>
      <c r="M25" s="13">
        <f>Report_2026_Q2[[#This Row],[cost villa ]]+Report_2026_Q2[[#This Row],[IBN cost ]]</f>
        <v>52.5</v>
      </c>
      <c r="N25" s="12">
        <f>Report_2026_Q2[[#This Row],[3 monthes  ORDER ]]*Report_2026_Q2[[#This Row],[cost by unit ]]</f>
        <v>0</v>
      </c>
      <c r="O25" s="5"/>
      <c r="P25" s="5"/>
      <c r="Q25" s="49">
        <f>Report_2026_Q2[[#This Row],[withdrawls villa ]]+Report_2026_Q2[[#This Row],[withdrawls IBN ]]</f>
        <v>1</v>
      </c>
      <c r="S25" s="49">
        <f>Report_2026_Q2[[#This Row],[3 monthes  ORDER ]]-Q25</f>
        <v>-1</v>
      </c>
    </row>
    <row r="26" spans="1:19" s="6" customFormat="1" ht="15.6">
      <c r="A26" s="8"/>
      <c r="B26" s="9">
        <v>25</v>
      </c>
      <c r="C26" s="26" t="s">
        <v>42</v>
      </c>
      <c r="D26" s="22" t="s">
        <v>28</v>
      </c>
      <c r="E26" s="10">
        <v>0</v>
      </c>
      <c r="F26" s="11" t="s">
        <v>12</v>
      </c>
      <c r="G26" s="11">
        <v>1</v>
      </c>
      <c r="H26" s="12">
        <v>0.3</v>
      </c>
      <c r="I26" s="12">
        <f>Report_2026_Q2[[#This Row],[withdrawls villa ]]*Report_2026_Q2[[#This Row],[cost by unit ]]</f>
        <v>21.42</v>
      </c>
      <c r="J26" s="12">
        <v>0</v>
      </c>
      <c r="K26" s="12">
        <f>Report_2026_Q2[[#This Row],[withdrawls IBN ]]*Report_2026_Q2[[#This Row],[cost by unit ]]</f>
        <v>0</v>
      </c>
      <c r="L26" s="23">
        <v>71.400000000000006</v>
      </c>
      <c r="M26" s="13">
        <f>Report_2026_Q2[[#This Row],[cost villa ]]+Report_2026_Q2[[#This Row],[IBN cost ]]</f>
        <v>21.42</v>
      </c>
      <c r="N26" s="12">
        <f>Report_2026_Q2[[#This Row],[3 monthes  ORDER ]]*Report_2026_Q2[[#This Row],[cost by unit ]]</f>
        <v>0</v>
      </c>
      <c r="O26" s="5"/>
      <c r="P26" s="5"/>
      <c r="Q26" s="49">
        <f>Report_2026_Q2[[#This Row],[withdrawls villa ]]+Report_2026_Q2[[#This Row],[withdrawls IBN ]]</f>
        <v>0.3</v>
      </c>
      <c r="S26" s="49">
        <f>Report_2026_Q2[[#This Row],[3 monthes  ORDER ]]-Q26</f>
        <v>-0.3</v>
      </c>
    </row>
    <row r="27" spans="1:19" s="6" customFormat="1" ht="15.6">
      <c r="A27" s="8"/>
      <c r="B27" s="9">
        <v>26</v>
      </c>
      <c r="C27" s="26" t="s">
        <v>43</v>
      </c>
      <c r="D27" s="22" t="s">
        <v>24</v>
      </c>
      <c r="E27" s="10">
        <v>0</v>
      </c>
      <c r="F27" s="11" t="s">
        <v>12</v>
      </c>
      <c r="G27" s="11">
        <v>2</v>
      </c>
      <c r="H27" s="12">
        <v>1</v>
      </c>
      <c r="I27" s="12">
        <f>Report_2026_Q2[[#This Row],[withdrawls villa ]]*Report_2026_Q2[[#This Row],[cost by unit ]]</f>
        <v>60.375</v>
      </c>
      <c r="J27" s="12">
        <v>0</v>
      </c>
      <c r="K27" s="12">
        <f>Report_2026_Q2[[#This Row],[withdrawls IBN ]]*Report_2026_Q2[[#This Row],[cost by unit ]]</f>
        <v>0</v>
      </c>
      <c r="L27" s="23">
        <v>60.375</v>
      </c>
      <c r="M27" s="13">
        <f>Report_2026_Q2[[#This Row],[cost villa ]]+Report_2026_Q2[[#This Row],[IBN cost ]]</f>
        <v>60.375</v>
      </c>
      <c r="N27" s="12">
        <f>Report_2026_Q2[[#This Row],[3 monthes  ORDER ]]*Report_2026_Q2[[#This Row],[cost by unit ]]</f>
        <v>0</v>
      </c>
      <c r="O27" s="5"/>
      <c r="P27" s="5"/>
      <c r="Q27" s="49">
        <f>Report_2026_Q2[[#This Row],[withdrawls villa ]]+Report_2026_Q2[[#This Row],[withdrawls IBN ]]</f>
        <v>1</v>
      </c>
      <c r="S27" s="49">
        <f>Report_2026_Q2[[#This Row],[3 monthes  ORDER ]]-Q27</f>
        <v>-1</v>
      </c>
    </row>
    <row r="28" spans="1:19" s="6" customFormat="1" ht="15.6">
      <c r="A28" s="8"/>
      <c r="B28" s="9">
        <v>27</v>
      </c>
      <c r="C28" s="26" t="s">
        <v>44</v>
      </c>
      <c r="D28" s="22" t="s">
        <v>24</v>
      </c>
      <c r="E28" s="10">
        <v>15</v>
      </c>
      <c r="F28" s="11" t="s">
        <v>12</v>
      </c>
      <c r="G28" s="11">
        <v>5</v>
      </c>
      <c r="H28" s="12">
        <v>3</v>
      </c>
      <c r="I28" s="12">
        <f>Report_2026_Q2[[#This Row],[withdrawls villa ]]*Report_2026_Q2[[#This Row],[cost by unit ]]</f>
        <v>98.43</v>
      </c>
      <c r="J28" s="12">
        <v>0</v>
      </c>
      <c r="K28" s="12">
        <f>Report_2026_Q2[[#This Row],[withdrawls IBN ]]*Report_2026_Q2[[#This Row],[cost by unit ]]</f>
        <v>0</v>
      </c>
      <c r="L28" s="23">
        <v>32.81</v>
      </c>
      <c r="M28" s="13">
        <f>Report_2026_Q2[[#This Row],[cost villa ]]+Report_2026_Q2[[#This Row],[IBN cost ]]</f>
        <v>98.43</v>
      </c>
      <c r="N28" s="12">
        <f>Report_2026_Q2[[#This Row],[3 monthes  ORDER ]]*Report_2026_Q2[[#This Row],[cost by unit ]]</f>
        <v>492.15000000000003</v>
      </c>
      <c r="O28" s="5"/>
      <c r="P28" s="5"/>
      <c r="Q28" s="49">
        <f>Report_2026_Q2[[#This Row],[withdrawls villa ]]+Report_2026_Q2[[#This Row],[withdrawls IBN ]]</f>
        <v>3</v>
      </c>
      <c r="S28" s="49">
        <f>Report_2026_Q2[[#This Row],[3 monthes  ORDER ]]-Q28</f>
        <v>12</v>
      </c>
    </row>
    <row r="29" spans="1:19" s="6" customFormat="1" ht="15.6">
      <c r="A29" s="8"/>
      <c r="B29" s="9">
        <v>28</v>
      </c>
      <c r="C29" s="26" t="s">
        <v>45</v>
      </c>
      <c r="D29" s="22" t="s">
        <v>28</v>
      </c>
      <c r="E29" s="10">
        <v>300</v>
      </c>
      <c r="F29" s="11" t="s">
        <v>12</v>
      </c>
      <c r="G29" s="11">
        <v>9</v>
      </c>
      <c r="H29" s="12">
        <v>9</v>
      </c>
      <c r="I29" s="12">
        <f>Report_2026_Q2[[#This Row],[withdrawls villa ]]*Report_2026_Q2[[#This Row],[cost by unit ]]</f>
        <v>14.174999999999999</v>
      </c>
      <c r="J29" s="12">
        <v>0</v>
      </c>
      <c r="K29" s="12">
        <f>Report_2026_Q2[[#This Row],[withdrawls IBN ]]*Report_2026_Q2[[#This Row],[cost by unit ]]</f>
        <v>0</v>
      </c>
      <c r="L29" s="23">
        <v>1.575</v>
      </c>
      <c r="M29" s="13">
        <f>Report_2026_Q2[[#This Row],[cost villa ]]+Report_2026_Q2[[#This Row],[IBN cost ]]</f>
        <v>14.174999999999999</v>
      </c>
      <c r="N29" s="12">
        <f>Report_2026_Q2[[#This Row],[3 monthes  ORDER ]]*Report_2026_Q2[[#This Row],[cost by unit ]]</f>
        <v>472.5</v>
      </c>
      <c r="O29" s="5"/>
      <c r="P29" s="5"/>
      <c r="Q29" s="49">
        <f>Report_2026_Q2[[#This Row],[withdrawls villa ]]+Report_2026_Q2[[#This Row],[withdrawls IBN ]]</f>
        <v>9</v>
      </c>
      <c r="S29" s="49">
        <f>Report_2026_Q2[[#This Row],[3 monthes  ORDER ]]-Q29</f>
        <v>291</v>
      </c>
    </row>
    <row r="30" spans="1:19" s="6" customFormat="1" ht="17.75">
      <c r="A30" s="8"/>
      <c r="B30" s="9">
        <v>29</v>
      </c>
      <c r="C30" s="27" t="s">
        <v>46</v>
      </c>
      <c r="D30" s="22" t="s">
        <v>14</v>
      </c>
      <c r="E30" s="10">
        <v>0</v>
      </c>
      <c r="F30" s="11" t="s">
        <v>12</v>
      </c>
      <c r="G30" s="11">
        <v>0</v>
      </c>
      <c r="H30" s="12">
        <v>0</v>
      </c>
      <c r="I30" s="12">
        <f>Report_2026_Q2[[#This Row],[withdrawls villa ]]*Report_2026_Q2[[#This Row],[cost by unit ]]</f>
        <v>0</v>
      </c>
      <c r="J30" s="12">
        <v>0</v>
      </c>
      <c r="K30" s="12">
        <f>Report_2026_Q2[[#This Row],[withdrawls IBN ]]*Report_2026_Q2[[#This Row],[cost by unit ]]</f>
        <v>0</v>
      </c>
      <c r="L30" s="28">
        <v>45</v>
      </c>
      <c r="M30" s="13">
        <f>Report_2026_Q2[[#This Row],[cost villa ]]+Report_2026_Q2[[#This Row],[IBN cost ]]</f>
        <v>0</v>
      </c>
      <c r="N30" s="12">
        <f>Report_2026_Q2[[#This Row],[3 monthes  ORDER ]]*Report_2026_Q2[[#This Row],[cost by unit ]]</f>
        <v>0</v>
      </c>
      <c r="O30" s="5"/>
      <c r="P30" s="5"/>
      <c r="Q30" s="49">
        <f>Report_2026_Q2[[#This Row],[withdrawls villa ]]+Report_2026_Q2[[#This Row],[withdrawls IBN ]]</f>
        <v>0</v>
      </c>
      <c r="S30" s="49">
        <f>Report_2026_Q2[[#This Row],[3 monthes  ORDER ]]-Q30</f>
        <v>0</v>
      </c>
    </row>
    <row r="31" spans="1:19" s="6" customFormat="1" ht="17.75">
      <c r="A31" s="8"/>
      <c r="B31" s="9">
        <v>30</v>
      </c>
      <c r="C31" s="27" t="s">
        <v>47</v>
      </c>
      <c r="D31" s="22" t="s">
        <v>14</v>
      </c>
      <c r="E31" s="10">
        <v>0</v>
      </c>
      <c r="F31" s="11" t="s">
        <v>12</v>
      </c>
      <c r="G31" s="11">
        <v>0</v>
      </c>
      <c r="H31" s="12">
        <v>0</v>
      </c>
      <c r="I31" s="12">
        <f>Report_2026_Q2[[#This Row],[withdrawls villa ]]*Report_2026_Q2[[#This Row],[cost by unit ]]</f>
        <v>0</v>
      </c>
      <c r="J31" s="12">
        <v>0</v>
      </c>
      <c r="K31" s="12">
        <f>Report_2026_Q2[[#This Row],[withdrawls IBN ]]*Report_2026_Q2[[#This Row],[cost by unit ]]</f>
        <v>0</v>
      </c>
      <c r="L31" s="28">
        <v>49</v>
      </c>
      <c r="M31" s="13">
        <f>Report_2026_Q2[[#This Row],[cost villa ]]+Report_2026_Q2[[#This Row],[IBN cost ]]</f>
        <v>0</v>
      </c>
      <c r="N31" s="12">
        <f>Report_2026_Q2[[#This Row],[3 monthes  ORDER ]]*Report_2026_Q2[[#This Row],[cost by unit ]]</f>
        <v>0</v>
      </c>
      <c r="O31" s="5"/>
      <c r="P31" s="5"/>
      <c r="Q31" s="49">
        <f>Report_2026_Q2[[#This Row],[withdrawls villa ]]+Report_2026_Q2[[#This Row],[withdrawls IBN ]]</f>
        <v>0</v>
      </c>
      <c r="S31" s="49">
        <f>Report_2026_Q2[[#This Row],[3 monthes  ORDER ]]-Q31</f>
        <v>0</v>
      </c>
    </row>
    <row r="32" spans="1:19" s="6" customFormat="1" ht="17.75">
      <c r="A32" s="8"/>
      <c r="B32" s="9">
        <v>31</v>
      </c>
      <c r="C32" s="27" t="s">
        <v>48</v>
      </c>
      <c r="D32" s="22" t="s">
        <v>14</v>
      </c>
      <c r="E32" s="10">
        <v>0</v>
      </c>
      <c r="F32" s="11" t="s">
        <v>12</v>
      </c>
      <c r="G32" s="11">
        <v>0</v>
      </c>
      <c r="H32" s="12">
        <v>0</v>
      </c>
      <c r="I32" s="12">
        <f>Report_2026_Q2[[#This Row],[withdrawls villa ]]*Report_2026_Q2[[#This Row],[cost by unit ]]</f>
        <v>0</v>
      </c>
      <c r="J32" s="12">
        <v>0</v>
      </c>
      <c r="K32" s="12">
        <f>Report_2026_Q2[[#This Row],[withdrawls IBN ]]*Report_2026_Q2[[#This Row],[cost by unit ]]</f>
        <v>0</v>
      </c>
      <c r="L32" s="28">
        <v>14</v>
      </c>
      <c r="M32" s="13">
        <f>Report_2026_Q2[[#This Row],[cost villa ]]+Report_2026_Q2[[#This Row],[IBN cost ]]</f>
        <v>0</v>
      </c>
      <c r="N32" s="12">
        <f>Report_2026_Q2[[#This Row],[3 monthes  ORDER ]]*Report_2026_Q2[[#This Row],[cost by unit ]]</f>
        <v>0</v>
      </c>
      <c r="O32" s="5"/>
      <c r="P32" s="5"/>
      <c r="Q32" s="49">
        <f>Report_2026_Q2[[#This Row],[withdrawls villa ]]+Report_2026_Q2[[#This Row],[withdrawls IBN ]]</f>
        <v>0</v>
      </c>
      <c r="S32" s="49">
        <f>Report_2026_Q2[[#This Row],[3 monthes  ORDER ]]-Q32</f>
        <v>0</v>
      </c>
    </row>
    <row r="33" spans="1:19" s="6" customFormat="1" ht="17.75">
      <c r="A33" s="8"/>
      <c r="B33" s="9">
        <v>32</v>
      </c>
      <c r="C33" s="27" t="s">
        <v>49</v>
      </c>
      <c r="D33" s="22" t="s">
        <v>14</v>
      </c>
      <c r="E33" s="10">
        <v>30</v>
      </c>
      <c r="F33" s="11" t="s">
        <v>12</v>
      </c>
      <c r="G33" s="11">
        <v>0</v>
      </c>
      <c r="H33" s="12">
        <v>0</v>
      </c>
      <c r="I33" s="12">
        <f>Report_2026_Q2[[#This Row],[withdrawls villa ]]*Report_2026_Q2[[#This Row],[cost by unit ]]</f>
        <v>0</v>
      </c>
      <c r="J33" s="12">
        <v>0</v>
      </c>
      <c r="K33" s="12">
        <f>Report_2026_Q2[[#This Row],[withdrawls IBN ]]*Report_2026_Q2[[#This Row],[cost by unit ]]</f>
        <v>0</v>
      </c>
      <c r="L33" s="28">
        <v>18</v>
      </c>
      <c r="M33" s="13">
        <f>Report_2026_Q2[[#This Row],[cost villa ]]+Report_2026_Q2[[#This Row],[IBN cost ]]</f>
        <v>0</v>
      </c>
      <c r="N33" s="12">
        <f>Report_2026_Q2[[#This Row],[3 monthes  ORDER ]]*Report_2026_Q2[[#This Row],[cost by unit ]]</f>
        <v>540</v>
      </c>
      <c r="O33" s="5"/>
      <c r="P33" s="5"/>
      <c r="Q33" s="49">
        <f>Report_2026_Q2[[#This Row],[withdrawls villa ]]+Report_2026_Q2[[#This Row],[withdrawls IBN ]]</f>
        <v>0</v>
      </c>
      <c r="S33" s="49">
        <f>Report_2026_Q2[[#This Row],[3 monthes  ORDER ]]-Q33</f>
        <v>30</v>
      </c>
    </row>
    <row r="34" spans="1:19" s="6" customFormat="1" ht="17.75">
      <c r="A34" s="8"/>
      <c r="B34" s="9">
        <v>33</v>
      </c>
      <c r="C34" s="27" t="s">
        <v>50</v>
      </c>
      <c r="D34" s="22" t="s">
        <v>14</v>
      </c>
      <c r="E34" s="10">
        <v>0</v>
      </c>
      <c r="F34" s="11" t="s">
        <v>12</v>
      </c>
      <c r="G34" s="11">
        <v>0</v>
      </c>
      <c r="H34" s="12">
        <v>0</v>
      </c>
      <c r="I34" s="12">
        <f>Report_2026_Q2[[#This Row],[withdrawls villa ]]*Report_2026_Q2[[#This Row],[cost by unit ]]</f>
        <v>0</v>
      </c>
      <c r="J34" s="12">
        <v>0</v>
      </c>
      <c r="K34" s="12">
        <f>Report_2026_Q2[[#This Row],[withdrawls IBN ]]*Report_2026_Q2[[#This Row],[cost by unit ]]</f>
        <v>0</v>
      </c>
      <c r="L34" s="28">
        <v>39</v>
      </c>
      <c r="M34" s="13">
        <f>Report_2026_Q2[[#This Row],[cost villa ]]+Report_2026_Q2[[#This Row],[IBN cost ]]</f>
        <v>0</v>
      </c>
      <c r="N34" s="12">
        <f>Report_2026_Q2[[#This Row],[3 monthes  ORDER ]]*Report_2026_Q2[[#This Row],[cost by unit ]]</f>
        <v>0</v>
      </c>
      <c r="O34" s="5"/>
      <c r="P34" s="5"/>
      <c r="Q34" s="49">
        <f>Report_2026_Q2[[#This Row],[withdrawls villa ]]+Report_2026_Q2[[#This Row],[withdrawls IBN ]]</f>
        <v>0</v>
      </c>
      <c r="S34" s="49">
        <f>Report_2026_Q2[[#This Row],[3 monthes  ORDER ]]-Q34</f>
        <v>0</v>
      </c>
    </row>
    <row r="35" spans="1:19" s="6" customFormat="1" ht="17.75">
      <c r="A35" s="8"/>
      <c r="B35" s="9">
        <v>34</v>
      </c>
      <c r="C35" s="27" t="s">
        <v>51</v>
      </c>
      <c r="D35" s="22" t="s">
        <v>52</v>
      </c>
      <c r="E35" s="10">
        <v>0</v>
      </c>
      <c r="F35" s="11" t="s">
        <v>12</v>
      </c>
      <c r="G35" s="11">
        <v>11</v>
      </c>
      <c r="H35" s="12">
        <v>1</v>
      </c>
      <c r="I35" s="12">
        <f>Report_2026_Q2[[#This Row],[withdrawls villa ]]*Report_2026_Q2[[#This Row],[cost by unit ]]</f>
        <v>14</v>
      </c>
      <c r="J35" s="12">
        <v>0</v>
      </c>
      <c r="K35" s="12">
        <f>Report_2026_Q2[[#This Row],[withdrawls IBN ]]*Report_2026_Q2[[#This Row],[cost by unit ]]</f>
        <v>0</v>
      </c>
      <c r="L35" s="28">
        <v>14</v>
      </c>
      <c r="M35" s="13">
        <f>Report_2026_Q2[[#This Row],[cost villa ]]+Report_2026_Q2[[#This Row],[IBN cost ]]</f>
        <v>14</v>
      </c>
      <c r="N35" s="12">
        <f>Report_2026_Q2[[#This Row],[3 monthes  ORDER ]]*Report_2026_Q2[[#This Row],[cost by unit ]]</f>
        <v>0</v>
      </c>
      <c r="O35" s="5"/>
      <c r="P35" s="5"/>
      <c r="Q35" s="49">
        <f>Report_2026_Q2[[#This Row],[withdrawls villa ]]+Report_2026_Q2[[#This Row],[withdrawls IBN ]]</f>
        <v>1</v>
      </c>
      <c r="S35" s="49">
        <f>Report_2026_Q2[[#This Row],[3 monthes  ORDER ]]-Q35</f>
        <v>-1</v>
      </c>
    </row>
    <row r="36" spans="1:19" s="6" customFormat="1" ht="17.75">
      <c r="A36" s="8"/>
      <c r="B36" s="9">
        <v>35</v>
      </c>
      <c r="C36" s="27" t="s">
        <v>53</v>
      </c>
      <c r="D36" s="22" t="s">
        <v>28</v>
      </c>
      <c r="E36" s="10">
        <v>0</v>
      </c>
      <c r="F36" s="11" t="s">
        <v>12</v>
      </c>
      <c r="G36" s="11">
        <v>1</v>
      </c>
      <c r="H36" s="12">
        <v>0</v>
      </c>
      <c r="I36" s="12">
        <f>Report_2026_Q2[[#This Row],[withdrawls villa ]]*Report_2026_Q2[[#This Row],[cost by unit ]]</f>
        <v>0</v>
      </c>
      <c r="J36" s="12">
        <v>0</v>
      </c>
      <c r="K36" s="12">
        <f>Report_2026_Q2[[#This Row],[withdrawls IBN ]]*Report_2026_Q2[[#This Row],[cost by unit ]]</f>
        <v>0</v>
      </c>
      <c r="L36" s="28">
        <v>1</v>
      </c>
      <c r="M36" s="13">
        <f>Report_2026_Q2[[#This Row],[cost villa ]]+Report_2026_Q2[[#This Row],[IBN cost ]]</f>
        <v>0</v>
      </c>
      <c r="N36" s="12">
        <f>Report_2026_Q2[[#This Row],[3 monthes  ORDER ]]*Report_2026_Q2[[#This Row],[cost by unit ]]</f>
        <v>0</v>
      </c>
      <c r="O36" s="5"/>
      <c r="P36" s="5"/>
      <c r="Q36" s="49">
        <f>Report_2026_Q2[[#This Row],[withdrawls villa ]]+Report_2026_Q2[[#This Row],[withdrawls IBN ]]</f>
        <v>0</v>
      </c>
      <c r="S36" s="49">
        <f>Report_2026_Q2[[#This Row],[3 monthes  ORDER ]]-Q36</f>
        <v>0</v>
      </c>
    </row>
    <row r="37" spans="1:19" s="6" customFormat="1" ht="15.6">
      <c r="A37" s="8"/>
      <c r="B37" s="9">
        <v>36</v>
      </c>
      <c r="C37" s="29" t="s">
        <v>54</v>
      </c>
      <c r="D37" s="22" t="s">
        <v>11</v>
      </c>
      <c r="E37" s="10">
        <v>1</v>
      </c>
      <c r="F37" s="11" t="s">
        <v>12</v>
      </c>
      <c r="G37" s="11">
        <v>0</v>
      </c>
      <c r="H37" s="12">
        <v>0</v>
      </c>
      <c r="I37" s="12">
        <f>Report_2026_Q2[[#This Row],[withdrawls villa ]]*Report_2026_Q2[[#This Row],[cost by unit ]]</f>
        <v>0</v>
      </c>
      <c r="J37" s="12">
        <v>0</v>
      </c>
      <c r="K37" s="12">
        <f>Report_2026_Q2[[#This Row],[withdrawls IBN ]]*Report_2026_Q2[[#This Row],[cost by unit ]]</f>
        <v>0</v>
      </c>
      <c r="L37" s="28">
        <v>6.95</v>
      </c>
      <c r="M37" s="13">
        <f>Report_2026_Q2[[#This Row],[cost villa ]]+Report_2026_Q2[[#This Row],[IBN cost ]]</f>
        <v>0</v>
      </c>
      <c r="N37" s="12">
        <f>Report_2026_Q2[[#This Row],[3 monthes  ORDER ]]*Report_2026_Q2[[#This Row],[cost by unit ]]</f>
        <v>6.95</v>
      </c>
      <c r="O37" s="5"/>
      <c r="P37" s="5"/>
      <c r="Q37" s="49">
        <f>Report_2026_Q2[[#This Row],[withdrawls villa ]]+Report_2026_Q2[[#This Row],[withdrawls IBN ]]</f>
        <v>0</v>
      </c>
      <c r="S37" s="49">
        <f>Report_2026_Q2[[#This Row],[3 monthes  ORDER ]]-Q37</f>
        <v>1</v>
      </c>
    </row>
    <row r="38" spans="1:19" s="6" customFormat="1" ht="15.6">
      <c r="A38" s="8"/>
      <c r="B38" s="9">
        <v>37</v>
      </c>
      <c r="C38" s="30" t="s">
        <v>55</v>
      </c>
      <c r="D38" s="22" t="s">
        <v>14</v>
      </c>
      <c r="E38" s="10">
        <v>0</v>
      </c>
      <c r="F38" s="11" t="s">
        <v>12</v>
      </c>
      <c r="G38" s="11">
        <v>0</v>
      </c>
      <c r="H38" s="12">
        <v>0</v>
      </c>
      <c r="I38" s="12">
        <f>Report_2026_Q2[[#This Row],[withdrawls villa ]]*Report_2026_Q2[[#This Row],[cost by unit ]]</f>
        <v>0</v>
      </c>
      <c r="J38" s="12">
        <v>0</v>
      </c>
      <c r="K38" s="12">
        <f>Report_2026_Q2[[#This Row],[withdrawls IBN ]]*Report_2026_Q2[[#This Row],[cost by unit ]]</f>
        <v>0</v>
      </c>
      <c r="L38" s="28">
        <v>6.75</v>
      </c>
      <c r="M38" s="13">
        <f>Report_2026_Q2[[#This Row],[cost villa ]]+Report_2026_Q2[[#This Row],[IBN cost ]]</f>
        <v>0</v>
      </c>
      <c r="N38" s="12">
        <f>Report_2026_Q2[[#This Row],[3 monthes  ORDER ]]*Report_2026_Q2[[#This Row],[cost by unit ]]</f>
        <v>0</v>
      </c>
      <c r="O38" s="5"/>
      <c r="P38" s="5"/>
      <c r="Q38" s="49">
        <f>Report_2026_Q2[[#This Row],[withdrawls villa ]]+Report_2026_Q2[[#This Row],[withdrawls IBN ]]</f>
        <v>0</v>
      </c>
      <c r="S38" s="49">
        <f>Report_2026_Q2[[#This Row],[3 monthes  ORDER ]]-Q38</f>
        <v>0</v>
      </c>
    </row>
    <row r="39" spans="1:19" s="6" customFormat="1" ht="15.6">
      <c r="A39" s="8"/>
      <c r="B39" s="9">
        <v>38</v>
      </c>
      <c r="C39" s="30" t="s">
        <v>56</v>
      </c>
      <c r="D39" s="22" t="s">
        <v>14</v>
      </c>
      <c r="E39" s="10">
        <v>0</v>
      </c>
      <c r="F39" s="11" t="s">
        <v>12</v>
      </c>
      <c r="G39" s="11">
        <v>0</v>
      </c>
      <c r="H39" s="12">
        <v>0</v>
      </c>
      <c r="I39" s="12">
        <f>Report_2026_Q2[[#This Row],[withdrawls villa ]]*Report_2026_Q2[[#This Row],[cost by unit ]]</f>
        <v>0</v>
      </c>
      <c r="J39" s="12">
        <v>0</v>
      </c>
      <c r="K39" s="12">
        <f>Report_2026_Q2[[#This Row],[withdrawls IBN ]]*Report_2026_Q2[[#This Row],[cost by unit ]]</f>
        <v>0</v>
      </c>
      <c r="L39" s="28">
        <v>1.5</v>
      </c>
      <c r="M39" s="13">
        <f>Report_2026_Q2[[#This Row],[cost villa ]]+Report_2026_Q2[[#This Row],[IBN cost ]]</f>
        <v>0</v>
      </c>
      <c r="N39" s="12">
        <f>Report_2026_Q2[[#This Row],[3 monthes  ORDER ]]*Report_2026_Q2[[#This Row],[cost by unit ]]</f>
        <v>0</v>
      </c>
      <c r="O39" s="5"/>
      <c r="P39" s="5"/>
      <c r="Q39" s="49">
        <f>Report_2026_Q2[[#This Row],[withdrawls villa ]]+Report_2026_Q2[[#This Row],[withdrawls IBN ]]</f>
        <v>0</v>
      </c>
      <c r="S39" s="49">
        <f>Report_2026_Q2[[#This Row],[3 monthes  ORDER ]]-Q39</f>
        <v>0</v>
      </c>
    </row>
    <row r="40" spans="1:19" s="15" customFormat="1" ht="15.6">
      <c r="A40" s="8"/>
      <c r="B40" s="9">
        <v>39</v>
      </c>
      <c r="C40" s="31" t="s">
        <v>57</v>
      </c>
      <c r="D40" s="32" t="s">
        <v>11</v>
      </c>
      <c r="E40" s="10">
        <v>10</v>
      </c>
      <c r="F40" s="11" t="s">
        <v>12</v>
      </c>
      <c r="G40" s="11">
        <v>10</v>
      </c>
      <c r="H40" s="12">
        <v>5</v>
      </c>
      <c r="I40" s="12">
        <f>Report_2026_Q2[[#This Row],[withdrawls villa ]]*Report_2026_Q2[[#This Row],[cost by unit ]]</f>
        <v>91.25</v>
      </c>
      <c r="J40" s="12">
        <v>3</v>
      </c>
      <c r="K40" s="12">
        <f>Report_2026_Q2[[#This Row],[withdrawls IBN ]]*Report_2026_Q2[[#This Row],[cost by unit ]]</f>
        <v>54.75</v>
      </c>
      <c r="L40" s="13">
        <v>18.25</v>
      </c>
      <c r="M40" s="13">
        <f>Report_2026_Q2[[#This Row],[cost villa ]]+Report_2026_Q2[[#This Row],[IBN cost ]]</f>
        <v>146</v>
      </c>
      <c r="N40" s="12">
        <f>Report_2026_Q2[[#This Row],[3 monthes  ORDER ]]*Report_2026_Q2[[#This Row],[cost by unit ]]</f>
        <v>182.5</v>
      </c>
      <c r="O40" s="14"/>
      <c r="P40" s="14"/>
      <c r="Q40" s="49">
        <f>Report_2026_Q2[[#This Row],[withdrawls villa ]]+Report_2026_Q2[[#This Row],[withdrawls IBN ]]</f>
        <v>8</v>
      </c>
      <c r="S40" s="49">
        <f>Report_2026_Q2[[#This Row],[3 monthes  ORDER ]]-Q40</f>
        <v>2</v>
      </c>
    </row>
    <row r="41" spans="1:19" s="15" customFormat="1" ht="15.6">
      <c r="A41" s="8"/>
      <c r="B41" s="9">
        <v>40</v>
      </c>
      <c r="C41" s="31" t="s">
        <v>58</v>
      </c>
      <c r="D41" s="22" t="s">
        <v>16</v>
      </c>
      <c r="E41" s="10">
        <v>20</v>
      </c>
      <c r="F41" s="11" t="s">
        <v>12</v>
      </c>
      <c r="G41" s="11">
        <v>3</v>
      </c>
      <c r="H41" s="12">
        <v>6</v>
      </c>
      <c r="I41" s="12">
        <f>Report_2026_Q2[[#This Row],[withdrawls villa ]]*Report_2026_Q2[[#This Row],[cost by unit ]]</f>
        <v>120</v>
      </c>
      <c r="J41" s="12">
        <v>11</v>
      </c>
      <c r="K41" s="12">
        <f>Report_2026_Q2[[#This Row],[withdrawls IBN ]]*Report_2026_Q2[[#This Row],[cost by unit ]]</f>
        <v>220</v>
      </c>
      <c r="L41" s="13">
        <v>20</v>
      </c>
      <c r="M41" s="13">
        <f>Report_2026_Q2[[#This Row],[cost villa ]]+Report_2026_Q2[[#This Row],[IBN cost ]]</f>
        <v>340</v>
      </c>
      <c r="N41" s="12">
        <f>Report_2026_Q2[[#This Row],[3 monthes  ORDER ]]*Report_2026_Q2[[#This Row],[cost by unit ]]</f>
        <v>400</v>
      </c>
      <c r="O41" s="14"/>
      <c r="P41" s="14"/>
      <c r="Q41" s="49">
        <f>Report_2026_Q2[[#This Row],[withdrawls villa ]]+Report_2026_Q2[[#This Row],[withdrawls IBN ]]</f>
        <v>17</v>
      </c>
      <c r="S41" s="49">
        <f>Report_2026_Q2[[#This Row],[3 monthes  ORDER ]]-Q41</f>
        <v>3</v>
      </c>
    </row>
    <row r="42" spans="1:19" s="15" customFormat="1" ht="15.6">
      <c r="A42" s="8"/>
      <c r="B42" s="9">
        <v>41</v>
      </c>
      <c r="C42" s="31" t="s">
        <v>59</v>
      </c>
      <c r="D42" s="22" t="s">
        <v>16</v>
      </c>
      <c r="E42" s="10">
        <v>20</v>
      </c>
      <c r="F42" s="11" t="s">
        <v>12</v>
      </c>
      <c r="G42" s="11">
        <v>1</v>
      </c>
      <c r="H42" s="12">
        <v>7</v>
      </c>
      <c r="I42" s="12">
        <f>Report_2026_Q2[[#This Row],[withdrawls villa ]]*Report_2026_Q2[[#This Row],[cost by unit ]]</f>
        <v>91</v>
      </c>
      <c r="J42" s="12">
        <v>9</v>
      </c>
      <c r="K42" s="12">
        <f>Report_2026_Q2[[#This Row],[withdrawls IBN ]]*Report_2026_Q2[[#This Row],[cost by unit ]]</f>
        <v>117</v>
      </c>
      <c r="L42" s="13">
        <v>13</v>
      </c>
      <c r="M42" s="13">
        <f>Report_2026_Q2[[#This Row],[cost villa ]]+Report_2026_Q2[[#This Row],[IBN cost ]]</f>
        <v>208</v>
      </c>
      <c r="N42" s="12">
        <f>Report_2026_Q2[[#This Row],[3 monthes  ORDER ]]*Report_2026_Q2[[#This Row],[cost by unit ]]</f>
        <v>260</v>
      </c>
      <c r="O42" s="14"/>
      <c r="P42" s="14"/>
      <c r="Q42" s="49">
        <f>Report_2026_Q2[[#This Row],[withdrawls villa ]]+Report_2026_Q2[[#This Row],[withdrawls IBN ]]</f>
        <v>16</v>
      </c>
      <c r="S42" s="49">
        <f>Report_2026_Q2[[#This Row],[3 monthes  ORDER ]]-Q42</f>
        <v>4</v>
      </c>
    </row>
    <row r="43" spans="1:19" s="6" customFormat="1" ht="15.6">
      <c r="A43" s="8"/>
      <c r="B43" s="9">
        <v>42</v>
      </c>
      <c r="C43" s="30" t="s">
        <v>60</v>
      </c>
      <c r="D43" s="22" t="s">
        <v>11</v>
      </c>
      <c r="E43" s="10">
        <v>150</v>
      </c>
      <c r="F43" s="11" t="s">
        <v>12</v>
      </c>
      <c r="G43" s="11">
        <v>53</v>
      </c>
      <c r="H43" s="12">
        <v>30</v>
      </c>
      <c r="I43" s="12">
        <f>Report_2026_Q2[[#This Row],[withdrawls villa ]]*Report_2026_Q2[[#This Row],[cost by unit ]]</f>
        <v>270</v>
      </c>
      <c r="J43" s="12">
        <v>0</v>
      </c>
      <c r="K43" s="12">
        <f>Report_2026_Q2[[#This Row],[withdrawls IBN ]]*Report_2026_Q2[[#This Row],[cost by unit ]]</f>
        <v>0</v>
      </c>
      <c r="L43" s="28">
        <v>9</v>
      </c>
      <c r="M43" s="13">
        <f>Report_2026_Q2[[#This Row],[cost villa ]]+Report_2026_Q2[[#This Row],[IBN cost ]]</f>
        <v>270</v>
      </c>
      <c r="N43" s="12">
        <f>Report_2026_Q2[[#This Row],[3 monthes  ORDER ]]*Report_2026_Q2[[#This Row],[cost by unit ]]</f>
        <v>1350</v>
      </c>
      <c r="O43" s="5"/>
      <c r="P43" s="5"/>
      <c r="Q43" s="49">
        <f>Report_2026_Q2[[#This Row],[withdrawls villa ]]+Report_2026_Q2[[#This Row],[withdrawls IBN ]]</f>
        <v>30</v>
      </c>
      <c r="S43" s="49">
        <f>Report_2026_Q2[[#This Row],[3 monthes  ORDER ]]-Q43</f>
        <v>120</v>
      </c>
    </row>
    <row r="44" spans="1:19" s="6" customFormat="1" ht="15.6">
      <c r="A44" s="16"/>
      <c r="B44" s="9">
        <v>43</v>
      </c>
      <c r="C44" s="33" t="s">
        <v>61</v>
      </c>
      <c r="D44" s="22" t="s">
        <v>16</v>
      </c>
      <c r="E44" s="10">
        <v>10</v>
      </c>
      <c r="F44" s="11" t="s">
        <v>12</v>
      </c>
      <c r="G44" s="11">
        <v>3</v>
      </c>
      <c r="H44" s="12">
        <v>4</v>
      </c>
      <c r="I44" s="19">
        <f>Report_2026_Q2[[#This Row],[withdrawls villa ]]*Report_2026_Q2[[#This Row],[cost by unit ]]</f>
        <v>340</v>
      </c>
      <c r="J44" s="12">
        <v>6</v>
      </c>
      <c r="K44" s="12">
        <f>Report_2026_Q2[[#This Row],[withdrawls IBN ]]*Report_2026_Q2[[#This Row],[cost by unit ]]</f>
        <v>510</v>
      </c>
      <c r="L44" s="34">
        <v>85</v>
      </c>
      <c r="M44" s="13">
        <f>Report_2026_Q2[[#This Row],[cost villa ]]+Report_2026_Q2[[#This Row],[IBN cost ]]</f>
        <v>850</v>
      </c>
      <c r="N44" s="12">
        <f>Report_2026_Q2[[#This Row],[3 monthes  ORDER ]]*Report_2026_Q2[[#This Row],[cost by unit ]]</f>
        <v>850</v>
      </c>
      <c r="O44" s="5"/>
      <c r="P44" s="5"/>
      <c r="Q44" s="49">
        <f>Report_2026_Q2[[#This Row],[withdrawls villa ]]+Report_2026_Q2[[#This Row],[withdrawls IBN ]]</f>
        <v>10</v>
      </c>
      <c r="S44" s="49">
        <f>Report_2026_Q2[[#This Row],[3 monthes  ORDER ]]-Q44</f>
        <v>0</v>
      </c>
    </row>
    <row r="45" spans="1:19" s="6" customFormat="1" ht="40.299999999999997">
      <c r="A45" s="8"/>
      <c r="B45" s="9">
        <v>44</v>
      </c>
      <c r="C45" s="35" t="s">
        <v>62</v>
      </c>
      <c r="D45" s="22" t="s">
        <v>28</v>
      </c>
      <c r="E45" s="10">
        <v>1</v>
      </c>
      <c r="F45" s="36" t="s">
        <v>63</v>
      </c>
      <c r="G45" s="36">
        <v>0</v>
      </c>
      <c r="H45" s="12">
        <v>0.4</v>
      </c>
      <c r="I45" s="12">
        <f>Report_2026_Q2[[#This Row],[withdrawls villa ]]*Report_2026_Q2[[#This Row],[cost by unit ]]</f>
        <v>104</v>
      </c>
      <c r="J45" s="12">
        <v>0</v>
      </c>
      <c r="K45" s="12">
        <f>Report_2026_Q2[[#This Row],[withdrawls IBN ]]*Report_2026_Q2[[#This Row],[cost by unit ]]</f>
        <v>0</v>
      </c>
      <c r="L45" s="28">
        <v>260</v>
      </c>
      <c r="M45" s="13">
        <f>Report_2026_Q2[[#This Row],[cost villa ]]+Report_2026_Q2[[#This Row],[IBN cost ]]</f>
        <v>104</v>
      </c>
      <c r="N45" s="12">
        <f>Report_2026_Q2[[#This Row],[3 monthes  ORDER ]]*Report_2026_Q2[[#This Row],[cost by unit ]]</f>
        <v>260</v>
      </c>
      <c r="O45" s="5"/>
      <c r="P45" s="5"/>
      <c r="Q45" s="49">
        <f>Report_2026_Q2[[#This Row],[withdrawls villa ]]+Report_2026_Q2[[#This Row],[withdrawls IBN ]]</f>
        <v>0.4</v>
      </c>
      <c r="S45" s="49">
        <f>Report_2026_Q2[[#This Row],[3 monthes  ORDER ]]-Q45</f>
        <v>0.6</v>
      </c>
    </row>
    <row r="46" spans="1:19" s="15" customFormat="1" ht="40.299999999999997">
      <c r="A46" s="8"/>
      <c r="B46" s="9">
        <v>45</v>
      </c>
      <c r="C46" s="37" t="s">
        <v>64</v>
      </c>
      <c r="D46" s="22" t="s">
        <v>16</v>
      </c>
      <c r="E46" s="10">
        <v>120</v>
      </c>
      <c r="F46" s="36" t="s">
        <v>63</v>
      </c>
      <c r="G46" s="36">
        <v>40</v>
      </c>
      <c r="H46" s="12">
        <v>27</v>
      </c>
      <c r="I46" s="12">
        <f>Report_2026_Q2[[#This Row],[withdrawls villa ]]*Report_2026_Q2[[#This Row],[cost by unit ]]</f>
        <v>1620</v>
      </c>
      <c r="J46" s="12">
        <v>46</v>
      </c>
      <c r="K46" s="12">
        <f>Report_2026_Q2[[#This Row],[withdrawls IBN ]]*Report_2026_Q2[[#This Row],[cost by unit ]]</f>
        <v>2760</v>
      </c>
      <c r="L46" s="13">
        <v>60</v>
      </c>
      <c r="M46" s="13">
        <f>Report_2026_Q2[[#This Row],[cost villa ]]+Report_2026_Q2[[#This Row],[IBN cost ]]</f>
        <v>4380</v>
      </c>
      <c r="N46" s="24">
        <f>Report_2026_Q2[[#This Row],[3 monthes  ORDER ]]*Report_2026_Q2[[#This Row],[cost by unit ]]</f>
        <v>7200</v>
      </c>
      <c r="O46" s="14"/>
      <c r="P46" s="14"/>
      <c r="Q46" s="49">
        <f>Report_2026_Q2[[#This Row],[withdrawls villa ]]+Report_2026_Q2[[#This Row],[withdrawls IBN ]]</f>
        <v>73</v>
      </c>
      <c r="S46" s="49">
        <f>Report_2026_Q2[[#This Row],[3 monthes  ORDER ]]-Q46</f>
        <v>47</v>
      </c>
    </row>
    <row r="47" spans="1:19" s="15" customFormat="1" ht="40.299999999999997">
      <c r="A47" s="8"/>
      <c r="B47" s="9">
        <v>46</v>
      </c>
      <c r="C47" s="37" t="s">
        <v>65</v>
      </c>
      <c r="D47" s="22" t="s">
        <v>28</v>
      </c>
      <c r="E47" s="10">
        <v>14</v>
      </c>
      <c r="F47" s="36" t="s">
        <v>63</v>
      </c>
      <c r="G47" s="36">
        <v>8</v>
      </c>
      <c r="H47" s="12">
        <v>1</v>
      </c>
      <c r="I47" s="12">
        <f>Report_2026_Q2[[#This Row],[withdrawls villa ]]*Report_2026_Q2[[#This Row],[cost by unit ]]</f>
        <v>75</v>
      </c>
      <c r="J47" s="12">
        <v>3</v>
      </c>
      <c r="K47" s="12">
        <f>Report_2026_Q2[[#This Row],[withdrawls IBN ]]*Report_2026_Q2[[#This Row],[cost by unit ]]</f>
        <v>225</v>
      </c>
      <c r="L47" s="13">
        <v>75</v>
      </c>
      <c r="M47" s="13">
        <f>Report_2026_Q2[[#This Row],[cost villa ]]+Report_2026_Q2[[#This Row],[IBN cost ]]</f>
        <v>300</v>
      </c>
      <c r="N47" s="12">
        <f>Report_2026_Q2[[#This Row],[3 monthes  ORDER ]]*Report_2026_Q2[[#This Row],[cost by unit ]]</f>
        <v>1050</v>
      </c>
      <c r="O47" s="14"/>
      <c r="P47" s="14"/>
      <c r="Q47" s="49">
        <f>Report_2026_Q2[[#This Row],[withdrawls villa ]]+Report_2026_Q2[[#This Row],[withdrawls IBN ]]</f>
        <v>4</v>
      </c>
      <c r="S47" s="49">
        <f>Report_2026_Q2[[#This Row],[3 monthes  ORDER ]]-Q47</f>
        <v>10</v>
      </c>
    </row>
    <row r="48" spans="1:19" s="15" customFormat="1" ht="40.299999999999997">
      <c r="A48" s="8"/>
      <c r="B48" s="9">
        <v>47</v>
      </c>
      <c r="C48" s="37" t="s">
        <v>66</v>
      </c>
      <c r="D48" s="22" t="s">
        <v>28</v>
      </c>
      <c r="E48" s="10">
        <v>7</v>
      </c>
      <c r="F48" s="36" t="s">
        <v>63</v>
      </c>
      <c r="G48" s="36">
        <v>3</v>
      </c>
      <c r="H48" s="12">
        <v>1</v>
      </c>
      <c r="I48" s="12">
        <f>Report_2026_Q2[[#This Row],[withdrawls villa ]]*Report_2026_Q2[[#This Row],[cost by unit ]]</f>
        <v>58</v>
      </c>
      <c r="J48" s="12">
        <v>2</v>
      </c>
      <c r="K48" s="12">
        <f>Report_2026_Q2[[#This Row],[withdrawls IBN ]]*Report_2026_Q2[[#This Row],[cost by unit ]]</f>
        <v>116</v>
      </c>
      <c r="L48" s="13">
        <v>58</v>
      </c>
      <c r="M48" s="13">
        <f>Report_2026_Q2[[#This Row],[cost villa ]]+Report_2026_Q2[[#This Row],[IBN cost ]]</f>
        <v>174</v>
      </c>
      <c r="N48" s="12">
        <f>Report_2026_Q2[[#This Row],[3 monthes  ORDER ]]*Report_2026_Q2[[#This Row],[cost by unit ]]</f>
        <v>406</v>
      </c>
      <c r="O48" s="14"/>
      <c r="P48" s="14"/>
      <c r="Q48" s="49">
        <f>Report_2026_Q2[[#This Row],[withdrawls villa ]]+Report_2026_Q2[[#This Row],[withdrawls IBN ]]</f>
        <v>3</v>
      </c>
      <c r="S48" s="49">
        <f>Report_2026_Q2[[#This Row],[3 monthes  ORDER ]]-Q48</f>
        <v>4</v>
      </c>
    </row>
    <row r="49" spans="1:19" s="15" customFormat="1" ht="40.299999999999997">
      <c r="A49" s="8"/>
      <c r="B49" s="9">
        <v>48</v>
      </c>
      <c r="C49" s="37" t="s">
        <v>67</v>
      </c>
      <c r="D49" s="22" t="s">
        <v>28</v>
      </c>
      <c r="E49" s="10">
        <v>7</v>
      </c>
      <c r="F49" s="36" t="s">
        <v>63</v>
      </c>
      <c r="G49" s="36">
        <v>4</v>
      </c>
      <c r="H49" s="12">
        <v>1</v>
      </c>
      <c r="I49" s="12">
        <f>Report_2026_Q2[[#This Row],[withdrawls villa ]]*Report_2026_Q2[[#This Row],[cost by unit ]]</f>
        <v>58</v>
      </c>
      <c r="J49" s="12">
        <v>3</v>
      </c>
      <c r="K49" s="12">
        <f>Report_2026_Q2[[#This Row],[withdrawls IBN ]]*Report_2026_Q2[[#This Row],[cost by unit ]]</f>
        <v>174</v>
      </c>
      <c r="L49" s="13">
        <v>58</v>
      </c>
      <c r="M49" s="13">
        <f>Report_2026_Q2[[#This Row],[cost villa ]]+Report_2026_Q2[[#This Row],[IBN cost ]]</f>
        <v>232</v>
      </c>
      <c r="N49" s="12">
        <f>Report_2026_Q2[[#This Row],[3 monthes  ORDER ]]*Report_2026_Q2[[#This Row],[cost by unit ]]</f>
        <v>406</v>
      </c>
      <c r="O49" s="14"/>
      <c r="P49" s="14"/>
      <c r="Q49" s="49">
        <f>Report_2026_Q2[[#This Row],[withdrawls villa ]]+Report_2026_Q2[[#This Row],[withdrawls IBN ]]</f>
        <v>4</v>
      </c>
      <c r="S49" s="49">
        <f>Report_2026_Q2[[#This Row],[3 monthes  ORDER ]]-Q49</f>
        <v>3</v>
      </c>
    </row>
    <row r="50" spans="1:19" s="15" customFormat="1" ht="40.299999999999997">
      <c r="A50" s="8"/>
      <c r="B50" s="9">
        <v>49</v>
      </c>
      <c r="C50" s="37" t="s">
        <v>68</v>
      </c>
      <c r="D50" s="22" t="s">
        <v>28</v>
      </c>
      <c r="E50" s="10">
        <v>4</v>
      </c>
      <c r="F50" s="36" t="s">
        <v>63</v>
      </c>
      <c r="G50" s="36">
        <v>1</v>
      </c>
      <c r="H50" s="12">
        <v>1</v>
      </c>
      <c r="I50" s="12">
        <f>Report_2026_Q2[[#This Row],[withdrawls villa ]]*Report_2026_Q2[[#This Row],[cost by unit ]]</f>
        <v>40</v>
      </c>
      <c r="J50" s="12">
        <v>2</v>
      </c>
      <c r="K50" s="12">
        <f>Report_2026_Q2[[#This Row],[withdrawls IBN ]]*Report_2026_Q2[[#This Row],[cost by unit ]]</f>
        <v>80</v>
      </c>
      <c r="L50" s="13">
        <v>40</v>
      </c>
      <c r="M50" s="13">
        <f>Report_2026_Q2[[#This Row],[cost villa ]]+Report_2026_Q2[[#This Row],[IBN cost ]]</f>
        <v>120</v>
      </c>
      <c r="N50" s="12">
        <f>Report_2026_Q2[[#This Row],[3 monthes  ORDER ]]*Report_2026_Q2[[#This Row],[cost by unit ]]</f>
        <v>160</v>
      </c>
      <c r="O50" s="14"/>
      <c r="P50" s="14"/>
      <c r="Q50" s="49">
        <f>Report_2026_Q2[[#This Row],[withdrawls villa ]]+Report_2026_Q2[[#This Row],[withdrawls IBN ]]</f>
        <v>3</v>
      </c>
      <c r="S50" s="49">
        <f>Report_2026_Q2[[#This Row],[3 monthes  ORDER ]]-Q50</f>
        <v>1</v>
      </c>
    </row>
    <row r="51" spans="1:19" s="15" customFormat="1" ht="40.299999999999997">
      <c r="A51" s="8"/>
      <c r="B51" s="9">
        <v>50</v>
      </c>
      <c r="C51" s="37" t="s">
        <v>69</v>
      </c>
      <c r="D51" s="22" t="s">
        <v>52</v>
      </c>
      <c r="E51" s="10">
        <v>1</v>
      </c>
      <c r="F51" s="36" t="s">
        <v>63</v>
      </c>
      <c r="G51" s="36">
        <v>0</v>
      </c>
      <c r="H51" s="12">
        <v>1</v>
      </c>
      <c r="I51" s="12">
        <f>Report_2026_Q2[[#This Row],[withdrawls villa ]]*Report_2026_Q2[[#This Row],[cost by unit ]]</f>
        <v>40</v>
      </c>
      <c r="J51" s="12">
        <v>0</v>
      </c>
      <c r="K51" s="12">
        <f>Report_2026_Q2[[#This Row],[withdrawls IBN ]]*Report_2026_Q2[[#This Row],[cost by unit ]]</f>
        <v>0</v>
      </c>
      <c r="L51" s="13">
        <v>40</v>
      </c>
      <c r="M51" s="13">
        <f>Report_2026_Q2[[#This Row],[cost villa ]]+Report_2026_Q2[[#This Row],[IBN cost ]]</f>
        <v>40</v>
      </c>
      <c r="N51" s="12">
        <f>Report_2026_Q2[[#This Row],[3 monthes  ORDER ]]*Report_2026_Q2[[#This Row],[cost by unit ]]</f>
        <v>40</v>
      </c>
      <c r="O51" s="14"/>
      <c r="P51" s="14"/>
      <c r="Q51" s="49">
        <f>Report_2026_Q2[[#This Row],[withdrawls villa ]]+Report_2026_Q2[[#This Row],[withdrawls IBN ]]</f>
        <v>1</v>
      </c>
      <c r="S51" s="49">
        <f>Report_2026_Q2[[#This Row],[3 monthes  ORDER ]]-Q51</f>
        <v>0</v>
      </c>
    </row>
    <row r="52" spans="1:19" s="15" customFormat="1" ht="40.299999999999997">
      <c r="A52" s="8"/>
      <c r="B52" s="9">
        <v>51</v>
      </c>
      <c r="C52" s="37" t="s">
        <v>70</v>
      </c>
      <c r="D52" s="22" t="s">
        <v>28</v>
      </c>
      <c r="E52" s="10">
        <v>1</v>
      </c>
      <c r="F52" s="36" t="s">
        <v>63</v>
      </c>
      <c r="G52" s="36">
        <v>0</v>
      </c>
      <c r="H52" s="12">
        <v>1</v>
      </c>
      <c r="I52" s="12">
        <f>Report_2026_Q2[[#This Row],[withdrawls villa ]]*Report_2026_Q2[[#This Row],[cost by unit ]]</f>
        <v>110</v>
      </c>
      <c r="J52" s="12">
        <v>0</v>
      </c>
      <c r="K52" s="12">
        <f>Report_2026_Q2[[#This Row],[withdrawls IBN ]]*Report_2026_Q2[[#This Row],[cost by unit ]]</f>
        <v>0</v>
      </c>
      <c r="L52" s="13">
        <v>110</v>
      </c>
      <c r="M52" s="13">
        <f>Report_2026_Q2[[#This Row],[cost villa ]]+Report_2026_Q2[[#This Row],[IBN cost ]]</f>
        <v>110</v>
      </c>
      <c r="N52" s="12">
        <f>Report_2026_Q2[[#This Row],[3 monthes  ORDER ]]*Report_2026_Q2[[#This Row],[cost by unit ]]</f>
        <v>110</v>
      </c>
      <c r="O52" s="14"/>
      <c r="P52" s="14"/>
      <c r="Q52" s="49">
        <f>Report_2026_Q2[[#This Row],[withdrawls villa ]]+Report_2026_Q2[[#This Row],[withdrawls IBN ]]</f>
        <v>1</v>
      </c>
      <c r="S52" s="49">
        <f>Report_2026_Q2[[#This Row],[3 monthes  ORDER ]]-Q52</f>
        <v>0</v>
      </c>
    </row>
    <row r="53" spans="1:19" s="15" customFormat="1" ht="40.299999999999997">
      <c r="A53" s="8"/>
      <c r="B53" s="9">
        <v>52</v>
      </c>
      <c r="C53" s="37" t="s">
        <v>71</v>
      </c>
      <c r="D53" s="22" t="s">
        <v>28</v>
      </c>
      <c r="E53" s="10">
        <v>6</v>
      </c>
      <c r="F53" s="36" t="s">
        <v>63</v>
      </c>
      <c r="G53" s="36">
        <v>2</v>
      </c>
      <c r="H53" s="12">
        <v>1</v>
      </c>
      <c r="I53" s="12">
        <f>Report_2026_Q2[[#This Row],[withdrawls villa ]]*Report_2026_Q2[[#This Row],[cost by unit ]]</f>
        <v>40</v>
      </c>
      <c r="J53" s="12">
        <v>1</v>
      </c>
      <c r="K53" s="12">
        <f>Report_2026_Q2[[#This Row],[withdrawls IBN ]]*Report_2026_Q2[[#This Row],[cost by unit ]]</f>
        <v>40</v>
      </c>
      <c r="L53" s="13">
        <v>40</v>
      </c>
      <c r="M53" s="13">
        <f>Report_2026_Q2[[#This Row],[cost villa ]]+Report_2026_Q2[[#This Row],[IBN cost ]]</f>
        <v>80</v>
      </c>
      <c r="N53" s="12">
        <f>Report_2026_Q2[[#This Row],[3 monthes  ORDER ]]*Report_2026_Q2[[#This Row],[cost by unit ]]</f>
        <v>240</v>
      </c>
      <c r="O53" s="14"/>
      <c r="P53" s="14"/>
      <c r="Q53" s="49">
        <f>Report_2026_Q2[[#This Row],[withdrawls villa ]]+Report_2026_Q2[[#This Row],[withdrawls IBN ]]</f>
        <v>2</v>
      </c>
      <c r="S53" s="49">
        <f>Report_2026_Q2[[#This Row],[3 monthes  ORDER ]]-Q53</f>
        <v>4</v>
      </c>
    </row>
    <row r="54" spans="1:19" s="15" customFormat="1" ht="40.299999999999997">
      <c r="A54" s="8"/>
      <c r="B54" s="9">
        <v>53</v>
      </c>
      <c r="C54" s="37" t="s">
        <v>72</v>
      </c>
      <c r="D54" s="22" t="s">
        <v>28</v>
      </c>
      <c r="E54" s="10">
        <v>3</v>
      </c>
      <c r="F54" s="36" t="s">
        <v>63</v>
      </c>
      <c r="G54" s="36">
        <v>1</v>
      </c>
      <c r="H54" s="12">
        <v>1</v>
      </c>
      <c r="I54" s="12">
        <f>Report_2026_Q2[[#This Row],[withdrawls villa ]]*Report_2026_Q2[[#This Row],[cost by unit ]]</f>
        <v>145</v>
      </c>
      <c r="J54" s="12">
        <v>1</v>
      </c>
      <c r="K54" s="12">
        <f>Report_2026_Q2[[#This Row],[withdrawls IBN ]]*Report_2026_Q2[[#This Row],[cost by unit ]]</f>
        <v>145</v>
      </c>
      <c r="L54" s="13">
        <v>145</v>
      </c>
      <c r="M54" s="13">
        <f>Report_2026_Q2[[#This Row],[cost villa ]]+Report_2026_Q2[[#This Row],[IBN cost ]]</f>
        <v>290</v>
      </c>
      <c r="N54" s="12">
        <f>Report_2026_Q2[[#This Row],[3 monthes  ORDER ]]*Report_2026_Q2[[#This Row],[cost by unit ]]</f>
        <v>435</v>
      </c>
      <c r="O54" s="14"/>
      <c r="P54" s="14"/>
      <c r="Q54" s="49">
        <f>Report_2026_Q2[[#This Row],[withdrawls villa ]]+Report_2026_Q2[[#This Row],[withdrawls IBN ]]</f>
        <v>2</v>
      </c>
      <c r="S54" s="49">
        <f>Report_2026_Q2[[#This Row],[3 monthes  ORDER ]]-Q54</f>
        <v>1</v>
      </c>
    </row>
    <row r="55" spans="1:19" s="15" customFormat="1" ht="40.299999999999997">
      <c r="A55" s="8"/>
      <c r="B55" s="9">
        <v>54</v>
      </c>
      <c r="C55" s="37" t="s">
        <v>73</v>
      </c>
      <c r="D55" s="22" t="s">
        <v>28</v>
      </c>
      <c r="E55" s="10">
        <v>1</v>
      </c>
      <c r="F55" s="36" t="s">
        <v>63</v>
      </c>
      <c r="G55" s="36">
        <v>0</v>
      </c>
      <c r="H55" s="12">
        <v>1</v>
      </c>
      <c r="I55" s="12">
        <f>Report_2026_Q2[[#This Row],[withdrawls villa ]]*Report_2026_Q2[[#This Row],[cost by unit ]]</f>
        <v>128</v>
      </c>
      <c r="J55" s="12">
        <v>0</v>
      </c>
      <c r="K55" s="12">
        <f>Report_2026_Q2[[#This Row],[withdrawls IBN ]]*Report_2026_Q2[[#This Row],[cost by unit ]]</f>
        <v>0</v>
      </c>
      <c r="L55" s="13">
        <v>128</v>
      </c>
      <c r="M55" s="13">
        <f>Report_2026_Q2[[#This Row],[cost villa ]]+Report_2026_Q2[[#This Row],[IBN cost ]]</f>
        <v>128</v>
      </c>
      <c r="N55" s="12">
        <f>Report_2026_Q2[[#This Row],[3 monthes  ORDER ]]*Report_2026_Q2[[#This Row],[cost by unit ]]</f>
        <v>128</v>
      </c>
      <c r="O55" s="14"/>
      <c r="P55" s="14"/>
      <c r="Q55" s="49">
        <f>Report_2026_Q2[[#This Row],[withdrawls villa ]]+Report_2026_Q2[[#This Row],[withdrawls IBN ]]</f>
        <v>1</v>
      </c>
      <c r="S55" s="49">
        <f>Report_2026_Q2[[#This Row],[3 monthes  ORDER ]]-Q55</f>
        <v>0</v>
      </c>
    </row>
    <row r="56" spans="1:19" s="15" customFormat="1" ht="40.299999999999997">
      <c r="A56" s="8"/>
      <c r="B56" s="9">
        <v>55</v>
      </c>
      <c r="C56" s="37" t="s">
        <v>74</v>
      </c>
      <c r="D56" s="22" t="s">
        <v>52</v>
      </c>
      <c r="E56" s="10">
        <v>3</v>
      </c>
      <c r="F56" s="36" t="s">
        <v>63</v>
      </c>
      <c r="G56" s="36">
        <v>1</v>
      </c>
      <c r="H56" s="12">
        <v>1</v>
      </c>
      <c r="I56" s="12">
        <f>Report_2026_Q2[[#This Row],[withdrawls villa ]]*Report_2026_Q2[[#This Row],[cost by unit ]]</f>
        <v>4.5</v>
      </c>
      <c r="J56" s="12">
        <v>0</v>
      </c>
      <c r="K56" s="12">
        <f>Report_2026_Q2[[#This Row],[withdrawls IBN ]]*Report_2026_Q2[[#This Row],[cost by unit ]]</f>
        <v>0</v>
      </c>
      <c r="L56" s="13">
        <v>4.5</v>
      </c>
      <c r="M56" s="13">
        <f>Report_2026_Q2[[#This Row],[cost villa ]]+Report_2026_Q2[[#This Row],[IBN cost ]]</f>
        <v>4.5</v>
      </c>
      <c r="N56" s="12">
        <f>Report_2026_Q2[[#This Row],[3 monthes  ORDER ]]*Report_2026_Q2[[#This Row],[cost by unit ]]</f>
        <v>13.5</v>
      </c>
      <c r="O56" s="14"/>
      <c r="P56" s="14"/>
      <c r="Q56" s="49">
        <f>Report_2026_Q2[[#This Row],[withdrawls villa ]]+Report_2026_Q2[[#This Row],[withdrawls IBN ]]</f>
        <v>1</v>
      </c>
      <c r="S56" s="49">
        <f>Report_2026_Q2[[#This Row],[3 monthes  ORDER ]]-Q56</f>
        <v>2</v>
      </c>
    </row>
    <row r="57" spans="1:19" s="15" customFormat="1" ht="40.299999999999997">
      <c r="A57" s="8"/>
      <c r="B57" s="9">
        <v>56</v>
      </c>
      <c r="C57" s="37" t="s">
        <v>75</v>
      </c>
      <c r="D57" s="22" t="s">
        <v>28</v>
      </c>
      <c r="E57" s="10">
        <v>2</v>
      </c>
      <c r="F57" s="36" t="s">
        <v>63</v>
      </c>
      <c r="G57" s="36">
        <v>0</v>
      </c>
      <c r="H57" s="12">
        <v>1</v>
      </c>
      <c r="I57" s="12">
        <f>Report_2026_Q2[[#This Row],[withdrawls villa ]]*Report_2026_Q2[[#This Row],[cost by unit ]]</f>
        <v>60</v>
      </c>
      <c r="J57" s="12">
        <v>1</v>
      </c>
      <c r="K57" s="12">
        <f>Report_2026_Q2[[#This Row],[withdrawls IBN ]]*Report_2026_Q2[[#This Row],[cost by unit ]]</f>
        <v>60</v>
      </c>
      <c r="L57" s="13">
        <v>60</v>
      </c>
      <c r="M57" s="13">
        <f>Report_2026_Q2[[#This Row],[cost villa ]]+Report_2026_Q2[[#This Row],[IBN cost ]]</f>
        <v>120</v>
      </c>
      <c r="N57" s="12">
        <f>Report_2026_Q2[[#This Row],[3 monthes  ORDER ]]*Report_2026_Q2[[#This Row],[cost by unit ]]</f>
        <v>120</v>
      </c>
      <c r="O57" s="14"/>
      <c r="P57" s="14"/>
      <c r="Q57" s="49">
        <f>Report_2026_Q2[[#This Row],[withdrawls villa ]]+Report_2026_Q2[[#This Row],[withdrawls IBN ]]</f>
        <v>2</v>
      </c>
      <c r="S57" s="49">
        <f>Report_2026_Q2[[#This Row],[3 monthes  ORDER ]]-Q57</f>
        <v>0</v>
      </c>
    </row>
    <row r="58" spans="1:19" s="15" customFormat="1" ht="40.299999999999997">
      <c r="A58" s="16"/>
      <c r="B58" s="9">
        <v>57</v>
      </c>
      <c r="C58" s="37" t="s">
        <v>76</v>
      </c>
      <c r="D58" s="22" t="s">
        <v>28</v>
      </c>
      <c r="E58" s="10">
        <v>2</v>
      </c>
      <c r="F58" s="36" t="s">
        <v>63</v>
      </c>
      <c r="G58" s="36">
        <v>0</v>
      </c>
      <c r="H58" s="12">
        <v>1</v>
      </c>
      <c r="I58" s="19">
        <f>Report_2026_Q2[[#This Row],[withdrawls villa ]]*Report_2026_Q2[[#This Row],[cost by unit ]]</f>
        <v>45</v>
      </c>
      <c r="J58" s="12">
        <v>1</v>
      </c>
      <c r="K58" s="12">
        <f>Report_2026_Q2[[#This Row],[withdrawls IBN ]]*Report_2026_Q2[[#This Row],[cost by unit ]]</f>
        <v>45</v>
      </c>
      <c r="L58" s="13">
        <v>45</v>
      </c>
      <c r="M58" s="13">
        <f>Report_2026_Q2[[#This Row],[cost villa ]]+Report_2026_Q2[[#This Row],[IBN cost ]]</f>
        <v>90</v>
      </c>
      <c r="N58" s="20">
        <f>Report_2026_Q2[[#This Row],[3 monthes  ORDER ]]*Report_2026_Q2[[#This Row],[cost by unit ]]</f>
        <v>90</v>
      </c>
      <c r="O58" s="14"/>
      <c r="P58" s="14"/>
      <c r="Q58" s="49">
        <f>Report_2026_Q2[[#This Row],[withdrawls villa ]]+Report_2026_Q2[[#This Row],[withdrawls IBN ]]</f>
        <v>2</v>
      </c>
      <c r="S58" s="49">
        <f>Report_2026_Q2[[#This Row],[3 monthes  ORDER ]]-Q58</f>
        <v>0</v>
      </c>
    </row>
    <row r="59" spans="1:19" s="15" customFormat="1" ht="40.299999999999997">
      <c r="A59" s="16"/>
      <c r="B59" s="9">
        <v>58</v>
      </c>
      <c r="C59" s="37" t="s">
        <v>77</v>
      </c>
      <c r="D59" s="22" t="s">
        <v>28</v>
      </c>
      <c r="E59" s="10">
        <v>0</v>
      </c>
      <c r="F59" s="36" t="s">
        <v>63</v>
      </c>
      <c r="G59" s="36">
        <v>0</v>
      </c>
      <c r="H59" s="12">
        <v>0</v>
      </c>
      <c r="I59" s="19">
        <f>Report_2026_Q2[[#This Row],[withdrawls villa ]]*Report_2026_Q2[[#This Row],[cost by unit ]]</f>
        <v>0</v>
      </c>
      <c r="J59" s="12">
        <v>0</v>
      </c>
      <c r="K59" s="12">
        <f>Report_2026_Q2[[#This Row],[withdrawls IBN ]]*Report_2026_Q2[[#This Row],[cost by unit ]]</f>
        <v>0</v>
      </c>
      <c r="L59" s="13">
        <v>70</v>
      </c>
      <c r="M59" s="13">
        <f>Report_2026_Q2[[#This Row],[cost villa ]]+Report_2026_Q2[[#This Row],[IBN cost ]]</f>
        <v>0</v>
      </c>
      <c r="N59" s="20">
        <f>Report_2026_Q2[[#This Row],[3 monthes  ORDER ]]*Report_2026_Q2[[#This Row],[cost by unit ]]</f>
        <v>0</v>
      </c>
      <c r="O59" s="14"/>
      <c r="P59" s="14"/>
      <c r="Q59" s="49">
        <f>Report_2026_Q2[[#This Row],[withdrawls villa ]]+Report_2026_Q2[[#This Row],[withdrawls IBN ]]</f>
        <v>0</v>
      </c>
      <c r="S59" s="49">
        <f>Report_2026_Q2[[#This Row],[3 monthes  ORDER ]]-Q59</f>
        <v>0</v>
      </c>
    </row>
    <row r="60" spans="1:19" s="15" customFormat="1" ht="40.299999999999997">
      <c r="A60" s="8"/>
      <c r="B60" s="9">
        <v>59</v>
      </c>
      <c r="C60" s="32" t="s">
        <v>78</v>
      </c>
      <c r="D60" s="32" t="s">
        <v>11</v>
      </c>
      <c r="E60" s="10">
        <v>120</v>
      </c>
      <c r="F60" s="36" t="s">
        <v>63</v>
      </c>
      <c r="G60" s="36">
        <v>120</v>
      </c>
      <c r="H60" s="12">
        <v>40</v>
      </c>
      <c r="I60" s="12">
        <f>Report_2026_Q2[[#This Row],[withdrawls villa ]]*Report_2026_Q2[[#This Row],[cost by unit ]]</f>
        <v>160</v>
      </c>
      <c r="J60" s="12">
        <v>22</v>
      </c>
      <c r="K60" s="12">
        <f>Report_2026_Q2[[#This Row],[withdrawls IBN ]]*Report_2026_Q2[[#This Row],[cost by unit ]]</f>
        <v>88</v>
      </c>
      <c r="L60" s="13">
        <v>4</v>
      </c>
      <c r="M60" s="13">
        <f>Report_2026_Q2[[#This Row],[cost villa ]]+Report_2026_Q2[[#This Row],[IBN cost ]]</f>
        <v>248</v>
      </c>
      <c r="N60" s="12">
        <f>Report_2026_Q2[[#This Row],[3 monthes  ORDER ]]*Report_2026_Q2[[#This Row],[cost by unit ]]</f>
        <v>480</v>
      </c>
      <c r="O60" s="14"/>
      <c r="P60" s="14"/>
      <c r="Q60" s="49">
        <f>Report_2026_Q2[[#This Row],[withdrawls villa ]]+Report_2026_Q2[[#This Row],[withdrawls IBN ]]</f>
        <v>62</v>
      </c>
      <c r="S60" s="49">
        <f>Report_2026_Q2[[#This Row],[3 monthes  ORDER ]]-Q60</f>
        <v>58</v>
      </c>
    </row>
    <row r="61" spans="1:19" s="15" customFormat="1" ht="40.299999999999997">
      <c r="A61" s="8"/>
      <c r="B61" s="9">
        <v>60</v>
      </c>
      <c r="C61" s="32" t="s">
        <v>79</v>
      </c>
      <c r="D61" s="22" t="s">
        <v>52</v>
      </c>
      <c r="E61" s="10">
        <v>6</v>
      </c>
      <c r="F61" s="36" t="s">
        <v>63</v>
      </c>
      <c r="G61" s="36">
        <v>2</v>
      </c>
      <c r="H61" s="12">
        <v>1</v>
      </c>
      <c r="I61" s="12">
        <f>Report_2026_Q2[[#This Row],[withdrawls villa ]]*Report_2026_Q2[[#This Row],[cost by unit ]]</f>
        <v>35</v>
      </c>
      <c r="J61" s="12">
        <v>2</v>
      </c>
      <c r="K61" s="12">
        <f>Report_2026_Q2[[#This Row],[withdrawls IBN ]]*Report_2026_Q2[[#This Row],[cost by unit ]]</f>
        <v>70</v>
      </c>
      <c r="L61" s="13">
        <v>35</v>
      </c>
      <c r="M61" s="13">
        <f>Report_2026_Q2[[#This Row],[cost villa ]]+Report_2026_Q2[[#This Row],[IBN cost ]]</f>
        <v>105</v>
      </c>
      <c r="N61" s="12">
        <f>Report_2026_Q2[[#This Row],[3 monthes  ORDER ]]*Report_2026_Q2[[#This Row],[cost by unit ]]</f>
        <v>210</v>
      </c>
      <c r="O61" s="14"/>
      <c r="P61" s="14"/>
      <c r="Q61" s="49">
        <f>Report_2026_Q2[[#This Row],[withdrawls villa ]]+Report_2026_Q2[[#This Row],[withdrawls IBN ]]</f>
        <v>3</v>
      </c>
      <c r="S61" s="49">
        <f>Report_2026_Q2[[#This Row],[3 monthes  ORDER ]]-Q61</f>
        <v>3</v>
      </c>
    </row>
    <row r="62" spans="1:19" s="15" customFormat="1" ht="40.299999999999997">
      <c r="A62" s="8"/>
      <c r="B62" s="9">
        <v>61</v>
      </c>
      <c r="C62" s="32" t="s">
        <v>80</v>
      </c>
      <c r="D62" s="22" t="s">
        <v>28</v>
      </c>
      <c r="E62" s="10">
        <v>30</v>
      </c>
      <c r="F62" s="36" t="s">
        <v>63</v>
      </c>
      <c r="G62" s="36">
        <v>0</v>
      </c>
      <c r="H62" s="12">
        <v>11</v>
      </c>
      <c r="I62" s="12">
        <f>Report_2026_Q2[[#This Row],[withdrawls villa ]]*Report_2026_Q2[[#This Row],[cost by unit ]]</f>
        <v>880</v>
      </c>
      <c r="J62" s="12">
        <v>12</v>
      </c>
      <c r="K62" s="12">
        <f>Report_2026_Q2[[#This Row],[withdrawls IBN ]]*Report_2026_Q2[[#This Row],[cost by unit ]]</f>
        <v>960</v>
      </c>
      <c r="L62" s="13">
        <v>80</v>
      </c>
      <c r="M62" s="13">
        <f>Report_2026_Q2[[#This Row],[cost villa ]]+Report_2026_Q2[[#This Row],[IBN cost ]]</f>
        <v>1840</v>
      </c>
      <c r="N62" s="12">
        <f>Report_2026_Q2[[#This Row],[3 monthes  ORDER ]]*Report_2026_Q2[[#This Row],[cost by unit ]]</f>
        <v>2400</v>
      </c>
      <c r="O62" s="14"/>
      <c r="P62" s="14"/>
      <c r="Q62" s="49">
        <f>Report_2026_Q2[[#This Row],[withdrawls villa ]]+Report_2026_Q2[[#This Row],[withdrawls IBN ]]</f>
        <v>23</v>
      </c>
      <c r="S62" s="49">
        <f>Report_2026_Q2[[#This Row],[3 monthes  ORDER ]]-Q62</f>
        <v>7</v>
      </c>
    </row>
    <row r="63" spans="1:19" s="15" customFormat="1" ht="40.299999999999997">
      <c r="A63" s="8"/>
      <c r="B63" s="9">
        <v>62</v>
      </c>
      <c r="C63" s="32" t="s">
        <v>81</v>
      </c>
      <c r="D63" s="22" t="s">
        <v>52</v>
      </c>
      <c r="E63" s="10">
        <v>60</v>
      </c>
      <c r="F63" s="36" t="s">
        <v>63</v>
      </c>
      <c r="G63" s="36">
        <v>3</v>
      </c>
      <c r="H63" s="12">
        <v>16</v>
      </c>
      <c r="I63" s="12">
        <f>Report_2026_Q2[[#This Row],[withdrawls villa ]]*Report_2026_Q2[[#This Row],[cost by unit ]]</f>
        <v>448</v>
      </c>
      <c r="J63" s="12">
        <v>17</v>
      </c>
      <c r="K63" s="12">
        <f>Report_2026_Q2[[#This Row],[withdrawls IBN ]]*Report_2026_Q2[[#This Row],[cost by unit ]]</f>
        <v>476</v>
      </c>
      <c r="L63" s="13">
        <v>28</v>
      </c>
      <c r="M63" s="13">
        <f>Report_2026_Q2[[#This Row],[cost villa ]]+Report_2026_Q2[[#This Row],[IBN cost ]]</f>
        <v>924</v>
      </c>
      <c r="N63" s="12">
        <f>Report_2026_Q2[[#This Row],[3 monthes  ORDER ]]*Report_2026_Q2[[#This Row],[cost by unit ]]</f>
        <v>1680</v>
      </c>
      <c r="O63" s="14"/>
      <c r="P63" s="14"/>
      <c r="Q63" s="49">
        <f>Report_2026_Q2[[#This Row],[withdrawls villa ]]+Report_2026_Q2[[#This Row],[withdrawls IBN ]]</f>
        <v>33</v>
      </c>
      <c r="S63" s="49">
        <f>Report_2026_Q2[[#This Row],[3 monthes  ORDER ]]-Q63</f>
        <v>27</v>
      </c>
    </row>
    <row r="64" spans="1:19" s="15" customFormat="1" ht="40.299999999999997">
      <c r="A64" s="8"/>
      <c r="B64" s="9">
        <v>63</v>
      </c>
      <c r="C64" s="32" t="s">
        <v>82</v>
      </c>
      <c r="D64" s="22" t="s">
        <v>28</v>
      </c>
      <c r="E64" s="10">
        <v>6</v>
      </c>
      <c r="F64" s="36" t="s">
        <v>63</v>
      </c>
      <c r="G64" s="36">
        <v>0</v>
      </c>
      <c r="H64" s="12">
        <v>2</v>
      </c>
      <c r="I64" s="12">
        <f>Report_2026_Q2[[#This Row],[withdrawls villa ]]*Report_2026_Q2[[#This Row],[cost by unit ]]</f>
        <v>390</v>
      </c>
      <c r="J64" s="12"/>
      <c r="K64" s="12">
        <f>Report_2026_Q2[[#This Row],[withdrawls IBN ]]*Report_2026_Q2[[#This Row],[cost by unit ]]</f>
        <v>0</v>
      </c>
      <c r="L64" s="13">
        <v>195</v>
      </c>
      <c r="M64" s="13">
        <f>Report_2026_Q2[[#This Row],[cost villa ]]+Report_2026_Q2[[#This Row],[IBN cost ]]</f>
        <v>390</v>
      </c>
      <c r="N64" s="12">
        <f>Report_2026_Q2[[#This Row],[3 monthes  ORDER ]]*Report_2026_Q2[[#This Row],[cost by unit ]]</f>
        <v>1170</v>
      </c>
      <c r="O64" s="14"/>
      <c r="P64" s="14"/>
      <c r="Q64" s="49">
        <f>Report_2026_Q2[[#This Row],[withdrawls villa ]]+Report_2026_Q2[[#This Row],[withdrawls IBN ]]</f>
        <v>2</v>
      </c>
      <c r="S64" s="49">
        <f>Report_2026_Q2[[#This Row],[3 monthes  ORDER ]]-Q64</f>
        <v>4</v>
      </c>
    </row>
    <row r="65" spans="1:19" s="15" customFormat="1" ht="40.299999999999997">
      <c r="A65" s="8"/>
      <c r="B65" s="9">
        <v>64</v>
      </c>
      <c r="C65" s="32" t="s">
        <v>83</v>
      </c>
      <c r="D65" s="32" t="s">
        <v>11</v>
      </c>
      <c r="E65" s="10">
        <v>6</v>
      </c>
      <c r="F65" s="36" t="s">
        <v>63</v>
      </c>
      <c r="G65" s="36">
        <v>4</v>
      </c>
      <c r="H65" s="12">
        <v>1</v>
      </c>
      <c r="I65" s="12">
        <f>Report_2026_Q2[[#This Row],[withdrawls villa ]]*Report_2026_Q2[[#This Row],[cost by unit ]]</f>
        <v>11</v>
      </c>
      <c r="J65" s="12">
        <v>0</v>
      </c>
      <c r="K65" s="12">
        <f>Report_2026_Q2[[#This Row],[withdrawls IBN ]]*Report_2026_Q2[[#This Row],[cost by unit ]]</f>
        <v>0</v>
      </c>
      <c r="L65" s="13">
        <v>11</v>
      </c>
      <c r="M65" s="13">
        <f>Report_2026_Q2[[#This Row],[cost villa ]]+Report_2026_Q2[[#This Row],[IBN cost ]]</f>
        <v>11</v>
      </c>
      <c r="N65" s="12">
        <f>Report_2026_Q2[[#This Row],[3 monthes  ORDER ]]*Report_2026_Q2[[#This Row],[cost by unit ]]</f>
        <v>66</v>
      </c>
      <c r="O65" s="14"/>
      <c r="P65" s="14"/>
      <c r="Q65" s="49">
        <f>Report_2026_Q2[[#This Row],[withdrawls villa ]]+Report_2026_Q2[[#This Row],[withdrawls IBN ]]</f>
        <v>1</v>
      </c>
      <c r="S65" s="49">
        <f>Report_2026_Q2[[#This Row],[3 monthes  ORDER ]]-Q65</f>
        <v>5</v>
      </c>
    </row>
    <row r="66" spans="1:19" s="15" customFormat="1" ht="40.299999999999997">
      <c r="A66" s="8"/>
      <c r="B66" s="9">
        <v>65</v>
      </c>
      <c r="C66" s="32" t="s">
        <v>84</v>
      </c>
      <c r="D66" s="22" t="s">
        <v>28</v>
      </c>
      <c r="E66" s="10">
        <v>3</v>
      </c>
      <c r="F66" s="36" t="s">
        <v>63</v>
      </c>
      <c r="G66" s="36">
        <v>1</v>
      </c>
      <c r="H66" s="12">
        <v>1</v>
      </c>
      <c r="I66" s="12">
        <f>Report_2026_Q2[[#This Row],[withdrawls villa ]]*Report_2026_Q2[[#This Row],[cost by unit ]]</f>
        <v>50</v>
      </c>
      <c r="J66" s="12">
        <v>1</v>
      </c>
      <c r="K66" s="12">
        <f>Report_2026_Q2[[#This Row],[withdrawls IBN ]]*Report_2026_Q2[[#This Row],[cost by unit ]]</f>
        <v>50</v>
      </c>
      <c r="L66" s="13">
        <v>50</v>
      </c>
      <c r="M66" s="13">
        <f>Report_2026_Q2[[#This Row],[cost villa ]]+Report_2026_Q2[[#This Row],[IBN cost ]]</f>
        <v>100</v>
      </c>
      <c r="N66" s="12">
        <f>Report_2026_Q2[[#This Row],[3 monthes  ORDER ]]*Report_2026_Q2[[#This Row],[cost by unit ]]</f>
        <v>150</v>
      </c>
      <c r="O66" s="14"/>
      <c r="P66" s="14"/>
      <c r="Q66" s="49">
        <f>Report_2026_Q2[[#This Row],[withdrawls villa ]]+Report_2026_Q2[[#This Row],[withdrawls IBN ]]</f>
        <v>2</v>
      </c>
      <c r="S66" s="49">
        <f>Report_2026_Q2[[#This Row],[3 monthes  ORDER ]]-Q66</f>
        <v>1</v>
      </c>
    </row>
    <row r="67" spans="1:19" s="15" customFormat="1" ht="40.299999999999997">
      <c r="A67" s="8"/>
      <c r="B67" s="9">
        <v>66</v>
      </c>
      <c r="C67" s="32" t="s">
        <v>85</v>
      </c>
      <c r="D67" s="32" t="s">
        <v>11</v>
      </c>
      <c r="E67" s="10">
        <v>15</v>
      </c>
      <c r="F67" s="36" t="s">
        <v>63</v>
      </c>
      <c r="G67" s="36">
        <v>3</v>
      </c>
      <c r="H67" s="12">
        <v>3</v>
      </c>
      <c r="I67" s="12">
        <f>Report_2026_Q2[[#This Row],[withdrawls villa ]]*Report_2026_Q2[[#This Row],[cost by unit ]]</f>
        <v>27</v>
      </c>
      <c r="J67" s="12">
        <v>4</v>
      </c>
      <c r="K67" s="12">
        <f>Report_2026_Q2[[#This Row],[withdrawls IBN ]]*Report_2026_Q2[[#This Row],[cost by unit ]]</f>
        <v>36</v>
      </c>
      <c r="L67" s="13">
        <v>9</v>
      </c>
      <c r="M67" s="13">
        <f>Report_2026_Q2[[#This Row],[cost villa ]]+Report_2026_Q2[[#This Row],[IBN cost ]]</f>
        <v>63</v>
      </c>
      <c r="N67" s="12">
        <f>Report_2026_Q2[[#This Row],[3 monthes  ORDER ]]*Report_2026_Q2[[#This Row],[cost by unit ]]</f>
        <v>135</v>
      </c>
      <c r="O67" s="14"/>
      <c r="P67" s="14"/>
      <c r="Q67" s="49">
        <f>Report_2026_Q2[[#This Row],[withdrawls villa ]]+Report_2026_Q2[[#This Row],[withdrawls IBN ]]</f>
        <v>7</v>
      </c>
      <c r="S67" s="49">
        <f>Report_2026_Q2[[#This Row],[3 monthes  ORDER ]]-Q67</f>
        <v>8</v>
      </c>
    </row>
    <row r="68" spans="1:19" s="15" customFormat="1" ht="40.299999999999997">
      <c r="A68" s="8"/>
      <c r="B68" s="9">
        <v>67</v>
      </c>
      <c r="C68" s="32" t="s">
        <v>86</v>
      </c>
      <c r="D68" s="32" t="s">
        <v>14</v>
      </c>
      <c r="E68" s="10">
        <v>200</v>
      </c>
      <c r="F68" s="36" t="s">
        <v>63</v>
      </c>
      <c r="G68" s="36">
        <v>60</v>
      </c>
      <c r="H68" s="12">
        <v>30</v>
      </c>
      <c r="I68" s="12">
        <f>Report_2026_Q2[[#This Row],[withdrawls villa ]]*Report_2026_Q2[[#This Row],[cost by unit ]]</f>
        <v>120</v>
      </c>
      <c r="J68" s="12">
        <v>15</v>
      </c>
      <c r="K68" s="12">
        <f>Report_2026_Q2[[#This Row],[withdrawls IBN ]]*Report_2026_Q2[[#This Row],[cost by unit ]]</f>
        <v>60</v>
      </c>
      <c r="L68" s="13">
        <v>4</v>
      </c>
      <c r="M68" s="13">
        <f>Report_2026_Q2[[#This Row],[cost villa ]]+Report_2026_Q2[[#This Row],[IBN cost ]]</f>
        <v>180</v>
      </c>
      <c r="N68" s="12">
        <f>Report_2026_Q2[[#This Row],[3 monthes  ORDER ]]*Report_2026_Q2[[#This Row],[cost by unit ]]</f>
        <v>800</v>
      </c>
      <c r="O68" s="14"/>
      <c r="P68" s="14"/>
      <c r="Q68" s="49">
        <f>Report_2026_Q2[[#This Row],[withdrawls villa ]]+Report_2026_Q2[[#This Row],[withdrawls IBN ]]</f>
        <v>45</v>
      </c>
      <c r="S68" s="49">
        <f>Report_2026_Q2[[#This Row],[3 monthes  ORDER ]]-Q68</f>
        <v>155</v>
      </c>
    </row>
    <row r="69" spans="1:19" s="15" customFormat="1" ht="40.299999999999997">
      <c r="A69" s="8"/>
      <c r="B69" s="9">
        <v>68</v>
      </c>
      <c r="C69" s="32" t="s">
        <v>87</v>
      </c>
      <c r="D69" s="22" t="s">
        <v>28</v>
      </c>
      <c r="E69" s="10">
        <v>12</v>
      </c>
      <c r="F69" s="36" t="s">
        <v>63</v>
      </c>
      <c r="G69" s="36">
        <v>0</v>
      </c>
      <c r="H69" s="12">
        <v>3</v>
      </c>
      <c r="I69" s="12">
        <f>Report_2026_Q2[[#This Row],[withdrawls villa ]]*Report_2026_Q2[[#This Row],[cost by unit ]]</f>
        <v>207</v>
      </c>
      <c r="J69" s="12">
        <v>2</v>
      </c>
      <c r="K69" s="12">
        <f>Report_2026_Q2[[#This Row],[withdrawls IBN ]]*Report_2026_Q2[[#This Row],[cost by unit ]]</f>
        <v>138</v>
      </c>
      <c r="L69" s="13">
        <v>69</v>
      </c>
      <c r="M69" s="13">
        <f>Report_2026_Q2[[#This Row],[cost villa ]]+Report_2026_Q2[[#This Row],[IBN cost ]]</f>
        <v>345</v>
      </c>
      <c r="N69" s="12">
        <f>Report_2026_Q2[[#This Row],[3 monthes  ORDER ]]*Report_2026_Q2[[#This Row],[cost by unit ]]</f>
        <v>828</v>
      </c>
      <c r="O69" s="14"/>
      <c r="P69" s="14"/>
      <c r="Q69" s="49">
        <f>Report_2026_Q2[[#This Row],[withdrawls villa ]]+Report_2026_Q2[[#This Row],[withdrawls IBN ]]</f>
        <v>5</v>
      </c>
      <c r="S69" s="49">
        <f>Report_2026_Q2[[#This Row],[3 monthes  ORDER ]]-Q69</f>
        <v>7</v>
      </c>
    </row>
    <row r="70" spans="1:19" s="15" customFormat="1" ht="40.299999999999997">
      <c r="A70" s="8"/>
      <c r="B70" s="9">
        <v>69</v>
      </c>
      <c r="C70" s="37" t="s">
        <v>88</v>
      </c>
      <c r="D70" s="32" t="s">
        <v>11</v>
      </c>
      <c r="E70" s="10">
        <v>80</v>
      </c>
      <c r="F70" s="36" t="s">
        <v>63</v>
      </c>
      <c r="G70" s="36">
        <v>10</v>
      </c>
      <c r="H70" s="12">
        <v>20</v>
      </c>
      <c r="I70" s="12">
        <f>Report_2026_Q2[[#This Row],[withdrawls villa ]]*Report_2026_Q2[[#This Row],[cost by unit ]]</f>
        <v>120</v>
      </c>
      <c r="J70" s="12">
        <v>11</v>
      </c>
      <c r="K70" s="12">
        <f>Report_2026_Q2[[#This Row],[withdrawls IBN ]]*Report_2026_Q2[[#This Row],[cost by unit ]]</f>
        <v>66</v>
      </c>
      <c r="L70" s="13">
        <v>6</v>
      </c>
      <c r="M70" s="13">
        <f>Report_2026_Q2[[#This Row],[cost villa ]]+Report_2026_Q2[[#This Row],[IBN cost ]]</f>
        <v>186</v>
      </c>
      <c r="N70" s="12">
        <f>Report_2026_Q2[[#This Row],[3 monthes  ORDER ]]*Report_2026_Q2[[#This Row],[cost by unit ]]</f>
        <v>480</v>
      </c>
      <c r="O70" s="14"/>
      <c r="P70" s="14"/>
      <c r="Q70" s="49">
        <f>Report_2026_Q2[[#This Row],[withdrawls villa ]]+Report_2026_Q2[[#This Row],[withdrawls IBN ]]</f>
        <v>31</v>
      </c>
      <c r="S70" s="49">
        <f>Report_2026_Q2[[#This Row],[3 monthes  ORDER ]]-Q70</f>
        <v>49</v>
      </c>
    </row>
    <row r="71" spans="1:19" s="15" customFormat="1" ht="40.299999999999997">
      <c r="A71" s="8"/>
      <c r="B71" s="9">
        <v>70</v>
      </c>
      <c r="C71" s="37" t="s">
        <v>89</v>
      </c>
      <c r="D71" s="22" t="s">
        <v>28</v>
      </c>
      <c r="E71" s="10">
        <v>4</v>
      </c>
      <c r="F71" s="36" t="s">
        <v>63</v>
      </c>
      <c r="G71" s="36">
        <v>0</v>
      </c>
      <c r="H71" s="12">
        <v>1</v>
      </c>
      <c r="I71" s="12">
        <f>Report_2026_Q2[[#This Row],[withdrawls villa ]]*Report_2026_Q2[[#This Row],[cost by unit ]]</f>
        <v>60</v>
      </c>
      <c r="J71" s="12">
        <v>1</v>
      </c>
      <c r="K71" s="12">
        <f>Report_2026_Q2[[#This Row],[withdrawls IBN ]]*Report_2026_Q2[[#This Row],[cost by unit ]]</f>
        <v>60</v>
      </c>
      <c r="L71" s="13">
        <v>60</v>
      </c>
      <c r="M71" s="13">
        <f>Report_2026_Q2[[#This Row],[cost villa ]]+Report_2026_Q2[[#This Row],[IBN cost ]]</f>
        <v>120</v>
      </c>
      <c r="N71" s="12">
        <f>Report_2026_Q2[[#This Row],[3 monthes  ORDER ]]*Report_2026_Q2[[#This Row],[cost by unit ]]</f>
        <v>240</v>
      </c>
      <c r="O71" s="14"/>
      <c r="P71" s="14"/>
      <c r="Q71" s="49">
        <f>Report_2026_Q2[[#This Row],[withdrawls villa ]]+Report_2026_Q2[[#This Row],[withdrawls IBN ]]</f>
        <v>2</v>
      </c>
      <c r="S71" s="49">
        <f>Report_2026_Q2[[#This Row],[3 monthes  ORDER ]]-Q71</f>
        <v>2</v>
      </c>
    </row>
    <row r="72" spans="1:19" s="15" customFormat="1" ht="40.299999999999997">
      <c r="A72" s="8"/>
      <c r="B72" s="9">
        <v>71</v>
      </c>
      <c r="C72" s="37" t="s">
        <v>90</v>
      </c>
      <c r="D72" s="22" t="s">
        <v>28</v>
      </c>
      <c r="E72" s="10">
        <v>5</v>
      </c>
      <c r="F72" s="36" t="s">
        <v>63</v>
      </c>
      <c r="G72" s="36">
        <v>0</v>
      </c>
      <c r="H72" s="12">
        <v>2</v>
      </c>
      <c r="I72" s="12">
        <f>Report_2026_Q2[[#This Row],[withdrawls villa ]]*Report_2026_Q2[[#This Row],[cost by unit ]]</f>
        <v>216</v>
      </c>
      <c r="J72" s="12">
        <v>0</v>
      </c>
      <c r="K72" s="12">
        <f>Report_2026_Q2[[#This Row],[withdrawls IBN ]]*Report_2026_Q2[[#This Row],[cost by unit ]]</f>
        <v>0</v>
      </c>
      <c r="L72" s="13">
        <v>108</v>
      </c>
      <c r="M72" s="13">
        <f>Report_2026_Q2[[#This Row],[cost villa ]]+Report_2026_Q2[[#This Row],[IBN cost ]]</f>
        <v>216</v>
      </c>
      <c r="N72" s="12">
        <f>Report_2026_Q2[[#This Row],[3 monthes  ORDER ]]*Report_2026_Q2[[#This Row],[cost by unit ]]</f>
        <v>540</v>
      </c>
      <c r="O72" s="14"/>
      <c r="P72" s="14"/>
      <c r="Q72" s="49">
        <f>Report_2026_Q2[[#This Row],[withdrawls villa ]]+Report_2026_Q2[[#This Row],[withdrawls IBN ]]</f>
        <v>2</v>
      </c>
      <c r="S72" s="49">
        <f>Report_2026_Q2[[#This Row],[3 monthes  ORDER ]]-Q72</f>
        <v>3</v>
      </c>
    </row>
    <row r="73" spans="1:19" s="15" customFormat="1" ht="40.299999999999997">
      <c r="A73" s="8"/>
      <c r="B73" s="9">
        <v>72</v>
      </c>
      <c r="C73" s="37" t="s">
        <v>91</v>
      </c>
      <c r="D73" s="22" t="s">
        <v>28</v>
      </c>
      <c r="E73" s="10">
        <v>1</v>
      </c>
      <c r="F73" s="36" t="s">
        <v>63</v>
      </c>
      <c r="G73" s="36">
        <v>0</v>
      </c>
      <c r="H73" s="12">
        <v>0</v>
      </c>
      <c r="I73" s="12">
        <f>Report_2026_Q2[[#This Row],[withdrawls villa ]]*Report_2026_Q2[[#This Row],[cost by unit ]]</f>
        <v>0</v>
      </c>
      <c r="J73" s="12">
        <v>0.5</v>
      </c>
      <c r="K73" s="12">
        <f>Report_2026_Q2[[#This Row],[withdrawls IBN ]]*Report_2026_Q2[[#This Row],[cost by unit ]]</f>
        <v>40</v>
      </c>
      <c r="L73" s="13">
        <v>80</v>
      </c>
      <c r="M73" s="13">
        <f>Report_2026_Q2[[#This Row],[cost villa ]]+Report_2026_Q2[[#This Row],[IBN cost ]]</f>
        <v>40</v>
      </c>
      <c r="N73" s="12">
        <f>Report_2026_Q2[[#This Row],[3 monthes  ORDER ]]*Report_2026_Q2[[#This Row],[cost by unit ]]</f>
        <v>80</v>
      </c>
      <c r="O73" s="14"/>
      <c r="P73" s="14"/>
      <c r="Q73" s="49">
        <f>Report_2026_Q2[[#This Row],[withdrawls villa ]]+Report_2026_Q2[[#This Row],[withdrawls IBN ]]</f>
        <v>0.5</v>
      </c>
      <c r="S73" s="49">
        <f>Report_2026_Q2[[#This Row],[3 monthes  ORDER ]]-Q73</f>
        <v>0.5</v>
      </c>
    </row>
    <row r="74" spans="1:19" s="15" customFormat="1" ht="40.299999999999997">
      <c r="A74" s="8"/>
      <c r="B74" s="9">
        <v>73</v>
      </c>
      <c r="C74" s="32" t="s">
        <v>92</v>
      </c>
      <c r="D74" s="32" t="s">
        <v>11</v>
      </c>
      <c r="E74" s="10">
        <v>6</v>
      </c>
      <c r="F74" s="36" t="s">
        <v>63</v>
      </c>
      <c r="G74" s="36">
        <v>1</v>
      </c>
      <c r="H74" s="12">
        <v>2</v>
      </c>
      <c r="I74" s="12">
        <f>Report_2026_Q2[[#This Row],[withdrawls villa ]]*Report_2026_Q2[[#This Row],[cost by unit ]]</f>
        <v>18</v>
      </c>
      <c r="J74" s="12">
        <v>1</v>
      </c>
      <c r="K74" s="12">
        <f>Report_2026_Q2[[#This Row],[withdrawls IBN ]]*Report_2026_Q2[[#This Row],[cost by unit ]]</f>
        <v>9</v>
      </c>
      <c r="L74" s="13">
        <v>9</v>
      </c>
      <c r="M74" s="13">
        <f>Report_2026_Q2[[#This Row],[cost villa ]]+Report_2026_Q2[[#This Row],[IBN cost ]]</f>
        <v>27</v>
      </c>
      <c r="N74" s="12">
        <f>Report_2026_Q2[[#This Row],[3 monthes  ORDER ]]*Report_2026_Q2[[#This Row],[cost by unit ]]</f>
        <v>54</v>
      </c>
      <c r="O74" s="14"/>
      <c r="P74" s="14"/>
      <c r="Q74" s="49">
        <f>Report_2026_Q2[[#This Row],[withdrawls villa ]]+Report_2026_Q2[[#This Row],[withdrawls IBN ]]</f>
        <v>3</v>
      </c>
      <c r="S74" s="49">
        <f>Report_2026_Q2[[#This Row],[3 monthes  ORDER ]]-Q74</f>
        <v>3</v>
      </c>
    </row>
    <row r="75" spans="1:19" s="15" customFormat="1" ht="40.299999999999997">
      <c r="A75" s="8"/>
      <c r="B75" s="9">
        <v>74</v>
      </c>
      <c r="C75" s="32" t="s">
        <v>93</v>
      </c>
      <c r="D75" s="22" t="s">
        <v>28</v>
      </c>
      <c r="E75" s="10">
        <v>15</v>
      </c>
      <c r="F75" s="36" t="s">
        <v>63</v>
      </c>
      <c r="G75" s="36">
        <v>6</v>
      </c>
      <c r="H75" s="12">
        <v>3</v>
      </c>
      <c r="I75" s="12">
        <f>Report_2026_Q2[[#This Row],[withdrawls villa ]]*Report_2026_Q2[[#This Row],[cost by unit ]]</f>
        <v>180</v>
      </c>
      <c r="J75" s="12">
        <v>2</v>
      </c>
      <c r="K75" s="12">
        <f>Report_2026_Q2[[#This Row],[withdrawls IBN ]]*Report_2026_Q2[[#This Row],[cost by unit ]]</f>
        <v>120</v>
      </c>
      <c r="L75" s="13">
        <v>60</v>
      </c>
      <c r="M75" s="13">
        <f>Report_2026_Q2[[#This Row],[cost villa ]]+Report_2026_Q2[[#This Row],[IBN cost ]]</f>
        <v>300</v>
      </c>
      <c r="N75" s="12">
        <f>Report_2026_Q2[[#This Row],[3 monthes  ORDER ]]*Report_2026_Q2[[#This Row],[cost by unit ]]</f>
        <v>900</v>
      </c>
      <c r="O75" s="14"/>
      <c r="P75" s="14"/>
      <c r="Q75" s="49">
        <f>Report_2026_Q2[[#This Row],[withdrawls villa ]]+Report_2026_Q2[[#This Row],[withdrawls IBN ]]</f>
        <v>5</v>
      </c>
      <c r="S75" s="49">
        <f>Report_2026_Q2[[#This Row],[3 monthes  ORDER ]]-Q75</f>
        <v>10</v>
      </c>
    </row>
    <row r="76" spans="1:19" s="15" customFormat="1" ht="40.299999999999997">
      <c r="A76" s="8"/>
      <c r="B76" s="9">
        <v>75</v>
      </c>
      <c r="C76" s="32" t="s">
        <v>94</v>
      </c>
      <c r="D76" s="22" t="s">
        <v>28</v>
      </c>
      <c r="E76" s="10">
        <v>2</v>
      </c>
      <c r="F76" s="36" t="s">
        <v>63</v>
      </c>
      <c r="G76" s="36">
        <v>0</v>
      </c>
      <c r="H76" s="12">
        <v>0</v>
      </c>
      <c r="I76" s="12">
        <f>Report_2026_Q2[[#This Row],[withdrawls villa ]]*Report_2026_Q2[[#This Row],[cost by unit ]]</f>
        <v>0</v>
      </c>
      <c r="J76" s="12">
        <v>0</v>
      </c>
      <c r="K76" s="12">
        <f>Report_2026_Q2[[#This Row],[withdrawls IBN ]]*Report_2026_Q2[[#This Row],[cost by unit ]]</f>
        <v>0</v>
      </c>
      <c r="L76" s="13">
        <v>72</v>
      </c>
      <c r="M76" s="13">
        <f>Report_2026_Q2[[#This Row],[cost villa ]]+Report_2026_Q2[[#This Row],[IBN cost ]]</f>
        <v>0</v>
      </c>
      <c r="N76" s="12">
        <f>Report_2026_Q2[[#This Row],[3 monthes  ORDER ]]*Report_2026_Q2[[#This Row],[cost by unit ]]</f>
        <v>144</v>
      </c>
      <c r="O76" s="14"/>
      <c r="P76" s="14"/>
      <c r="Q76" s="49">
        <f>Report_2026_Q2[[#This Row],[withdrawls villa ]]+Report_2026_Q2[[#This Row],[withdrawls IBN ]]</f>
        <v>0</v>
      </c>
      <c r="S76" s="49">
        <f>Report_2026_Q2[[#This Row],[3 monthes  ORDER ]]-Q76</f>
        <v>2</v>
      </c>
    </row>
    <row r="77" spans="1:19" s="6" customFormat="1" ht="40.299999999999997">
      <c r="A77" s="8"/>
      <c r="B77" s="9">
        <v>76</v>
      </c>
      <c r="C77" s="38" t="s">
        <v>95</v>
      </c>
      <c r="D77" s="22" t="s">
        <v>11</v>
      </c>
      <c r="E77" s="10">
        <v>50</v>
      </c>
      <c r="F77" s="36" t="s">
        <v>63</v>
      </c>
      <c r="G77" s="36">
        <v>6000</v>
      </c>
      <c r="H77" s="12">
        <v>0</v>
      </c>
      <c r="I77" s="12">
        <f>Report_2026_Q2[[#This Row],[withdrawls villa ]]*Report_2026_Q2[[#This Row],[cost by unit ]]</f>
        <v>0</v>
      </c>
      <c r="J77" s="12">
        <v>0</v>
      </c>
      <c r="K77" s="12">
        <f>Report_2026_Q2[[#This Row],[withdrawls IBN ]]*Report_2026_Q2[[#This Row],[cost by unit ]]</f>
        <v>0</v>
      </c>
      <c r="L77" s="28">
        <v>0.31</v>
      </c>
      <c r="M77" s="13">
        <f>Report_2026_Q2[[#This Row],[cost villa ]]+Report_2026_Q2[[#This Row],[IBN cost ]]</f>
        <v>0</v>
      </c>
      <c r="N77" s="24">
        <f>Report_2026_Q2[[#This Row],[3 monthes  ORDER ]]*Report_2026_Q2[[#This Row],[cost by unit ]]</f>
        <v>15.5</v>
      </c>
      <c r="O77" s="5"/>
      <c r="P77" s="5"/>
      <c r="Q77" s="49">
        <f>Report_2026_Q2[[#This Row],[withdrawls villa ]]+Report_2026_Q2[[#This Row],[withdrawls IBN ]]</f>
        <v>0</v>
      </c>
      <c r="S77" s="49">
        <f>Report_2026_Q2[[#This Row],[3 monthes  ORDER ]]-Q77</f>
        <v>50</v>
      </c>
    </row>
    <row r="78" spans="1:19" s="6" customFormat="1" ht="40.299999999999997">
      <c r="A78" s="8"/>
      <c r="B78" s="9">
        <v>77</v>
      </c>
      <c r="C78" s="38" t="s">
        <v>96</v>
      </c>
      <c r="D78" s="22" t="s">
        <v>11</v>
      </c>
      <c r="E78" s="10">
        <v>10000</v>
      </c>
      <c r="F78" s="36" t="s">
        <v>63</v>
      </c>
      <c r="G78" s="36">
        <v>0</v>
      </c>
      <c r="H78" s="12">
        <v>0</v>
      </c>
      <c r="I78" s="12">
        <f>Report_2026_Q2[[#This Row],[withdrawls villa ]]*Report_2026_Q2[[#This Row],[cost by unit ]]</f>
        <v>0</v>
      </c>
      <c r="J78" s="12">
        <v>0</v>
      </c>
      <c r="K78" s="12">
        <f>Report_2026_Q2[[#This Row],[withdrawls IBN ]]*Report_2026_Q2[[#This Row],[cost by unit ]]</f>
        <v>0</v>
      </c>
      <c r="L78" s="28">
        <v>0.6</v>
      </c>
      <c r="M78" s="13">
        <f>Report_2026_Q2[[#This Row],[cost villa ]]+Report_2026_Q2[[#This Row],[IBN cost ]]</f>
        <v>0</v>
      </c>
      <c r="N78" s="12">
        <f>Report_2026_Q2[[#This Row],[3 monthes  ORDER ]]*Report_2026_Q2[[#This Row],[cost by unit ]]</f>
        <v>6000</v>
      </c>
      <c r="O78" s="5"/>
      <c r="P78" s="5"/>
      <c r="Q78" s="49">
        <f>Report_2026_Q2[[#This Row],[withdrawls villa ]]+Report_2026_Q2[[#This Row],[withdrawls IBN ]]</f>
        <v>0</v>
      </c>
      <c r="S78" s="49">
        <f>Report_2026_Q2[[#This Row],[3 monthes  ORDER ]]-Q78</f>
        <v>10000</v>
      </c>
    </row>
    <row r="79" spans="1:19" s="6" customFormat="1" ht="40.299999999999997">
      <c r="A79" s="8"/>
      <c r="B79" s="9">
        <v>78</v>
      </c>
      <c r="C79" s="38" t="s">
        <v>97</v>
      </c>
      <c r="D79" s="22" t="s">
        <v>11</v>
      </c>
      <c r="E79" s="10">
        <v>0</v>
      </c>
      <c r="F79" s="36" t="s">
        <v>63</v>
      </c>
      <c r="G79" s="36">
        <v>0</v>
      </c>
      <c r="H79" s="12">
        <v>0</v>
      </c>
      <c r="I79" s="12">
        <f>Report_2026_Q2[[#This Row],[withdrawls villa ]]*Report_2026_Q2[[#This Row],[cost by unit ]]</f>
        <v>0</v>
      </c>
      <c r="J79" s="12">
        <v>0</v>
      </c>
      <c r="K79" s="12">
        <f>Report_2026_Q2[[#This Row],[withdrawls IBN ]]*Report_2026_Q2[[#This Row],[cost by unit ]]</f>
        <v>0</v>
      </c>
      <c r="L79" s="28">
        <v>0.45</v>
      </c>
      <c r="M79" s="13">
        <f>Report_2026_Q2[[#This Row],[cost villa ]]+Report_2026_Q2[[#This Row],[IBN cost ]]</f>
        <v>0</v>
      </c>
      <c r="N79" s="12">
        <f>Report_2026_Q2[[#This Row],[3 monthes  ORDER ]]*Report_2026_Q2[[#This Row],[cost by unit ]]</f>
        <v>0</v>
      </c>
      <c r="O79" s="5"/>
      <c r="P79" s="5"/>
      <c r="Q79" s="49">
        <f>Report_2026_Q2[[#This Row],[withdrawls villa ]]+Report_2026_Q2[[#This Row],[withdrawls IBN ]]</f>
        <v>0</v>
      </c>
      <c r="S79" s="49">
        <f>Report_2026_Q2[[#This Row],[3 monthes  ORDER ]]-Q79</f>
        <v>0</v>
      </c>
    </row>
    <row r="80" spans="1:19" s="6" customFormat="1" ht="40.299999999999997">
      <c r="A80" s="8"/>
      <c r="B80" s="9">
        <v>79</v>
      </c>
      <c r="C80" s="38" t="s">
        <v>98</v>
      </c>
      <c r="D80" s="22" t="s">
        <v>11</v>
      </c>
      <c r="E80" s="10">
        <v>0</v>
      </c>
      <c r="F80" s="36" t="s">
        <v>63</v>
      </c>
      <c r="G80" s="36">
        <v>0</v>
      </c>
      <c r="H80" s="12">
        <v>0</v>
      </c>
      <c r="I80" s="12">
        <f>Report_2026_Q2[[#This Row],[withdrawls villa ]]*Report_2026_Q2[[#This Row],[cost by unit ]]</f>
        <v>0</v>
      </c>
      <c r="J80" s="12">
        <v>0</v>
      </c>
      <c r="K80" s="12">
        <f>Report_2026_Q2[[#This Row],[withdrawls IBN ]]*Report_2026_Q2[[#This Row],[cost by unit ]]</f>
        <v>0</v>
      </c>
      <c r="L80" s="28">
        <v>0.7</v>
      </c>
      <c r="M80" s="13">
        <f>Report_2026_Q2[[#This Row],[cost villa ]]+Report_2026_Q2[[#This Row],[IBN cost ]]</f>
        <v>0</v>
      </c>
      <c r="N80" s="12">
        <f>Report_2026_Q2[[#This Row],[3 monthes  ORDER ]]*Report_2026_Q2[[#This Row],[cost by unit ]]</f>
        <v>0</v>
      </c>
      <c r="O80" s="5"/>
      <c r="P80" s="5"/>
      <c r="Q80" s="49">
        <f>Report_2026_Q2[[#This Row],[withdrawls villa ]]+Report_2026_Q2[[#This Row],[withdrawls IBN ]]</f>
        <v>0</v>
      </c>
      <c r="S80" s="49">
        <f>Report_2026_Q2[[#This Row],[3 monthes  ORDER ]]-Q80</f>
        <v>0</v>
      </c>
    </row>
    <row r="81" spans="1:19" s="15" customFormat="1" ht="40.299999999999997">
      <c r="A81" s="8"/>
      <c r="B81" s="9">
        <v>80</v>
      </c>
      <c r="C81" s="32" t="s">
        <v>99</v>
      </c>
      <c r="D81" s="32" t="s">
        <v>11</v>
      </c>
      <c r="E81" s="10">
        <v>0</v>
      </c>
      <c r="F81" s="36" t="s">
        <v>63</v>
      </c>
      <c r="G81" s="36">
        <v>1</v>
      </c>
      <c r="H81" s="12">
        <v>0</v>
      </c>
      <c r="I81" s="12">
        <f>Report_2026_Q2[[#This Row],[withdrawls villa ]]*Report_2026_Q2[[#This Row],[cost by unit ]]</f>
        <v>0</v>
      </c>
      <c r="J81" s="12">
        <v>0</v>
      </c>
      <c r="K81" s="12">
        <f>Report_2026_Q2[[#This Row],[withdrawls IBN ]]*Report_2026_Q2[[#This Row],[cost by unit ]]</f>
        <v>0</v>
      </c>
      <c r="L81" s="13">
        <v>15</v>
      </c>
      <c r="M81" s="13">
        <f>Report_2026_Q2[[#This Row],[cost villa ]]+Report_2026_Q2[[#This Row],[IBN cost ]]</f>
        <v>0</v>
      </c>
      <c r="N81" s="12">
        <f>Report_2026_Q2[[#This Row],[3 monthes  ORDER ]]*Report_2026_Q2[[#This Row],[cost by unit ]]</f>
        <v>0</v>
      </c>
      <c r="O81" s="14"/>
      <c r="P81" s="14"/>
      <c r="Q81" s="49">
        <f>Report_2026_Q2[[#This Row],[withdrawls villa ]]+Report_2026_Q2[[#This Row],[withdrawls IBN ]]</f>
        <v>0</v>
      </c>
      <c r="S81" s="49">
        <f>Report_2026_Q2[[#This Row],[3 monthes  ORDER ]]-Q81</f>
        <v>0</v>
      </c>
    </row>
    <row r="82" spans="1:19" s="6" customFormat="1" ht="15.6">
      <c r="A82" s="16"/>
      <c r="B82" s="9">
        <v>81</v>
      </c>
      <c r="C82" s="39" t="s">
        <v>100</v>
      </c>
      <c r="D82" s="22" t="s">
        <v>16</v>
      </c>
      <c r="E82" s="10">
        <v>3</v>
      </c>
      <c r="F82" s="18"/>
      <c r="G82" s="36">
        <v>0</v>
      </c>
      <c r="H82" s="12">
        <v>0</v>
      </c>
      <c r="I82" s="12">
        <f>Report_2026_Q2[[#This Row],[withdrawls villa ]]*Report_2026_Q2[[#This Row],[cost by unit ]]</f>
        <v>0</v>
      </c>
      <c r="J82" s="12">
        <v>0</v>
      </c>
      <c r="K82" s="12">
        <f>Report_2026_Q2[[#This Row],[withdrawls IBN ]]*Report_2026_Q2[[#This Row],[cost by unit ]]</f>
        <v>0</v>
      </c>
      <c r="L82" s="34">
        <v>84</v>
      </c>
      <c r="M82" s="13">
        <f>Report_2026_Q2[[#This Row],[cost villa ]]+Report_2026_Q2[[#This Row],[IBN cost ]]</f>
        <v>0</v>
      </c>
      <c r="N82" s="12">
        <f>Report_2026_Q2[[#This Row],[3 monthes  ORDER ]]*Report_2026_Q2[[#This Row],[cost by unit ]]</f>
        <v>252</v>
      </c>
      <c r="O82" s="5"/>
      <c r="P82" s="5"/>
      <c r="Q82" s="49">
        <f>Report_2026_Q2[[#This Row],[withdrawls villa ]]+Report_2026_Q2[[#This Row],[withdrawls IBN ]]</f>
        <v>0</v>
      </c>
      <c r="S82" s="49">
        <f>Report_2026_Q2[[#This Row],[3 monthes  ORDER ]]-Q82</f>
        <v>3</v>
      </c>
    </row>
    <row r="83" spans="1:19" s="6" customFormat="1" ht="15.6">
      <c r="A83" s="8"/>
      <c r="B83" s="9">
        <v>82</v>
      </c>
      <c r="C83" s="40" t="s">
        <v>101</v>
      </c>
      <c r="D83" s="22" t="s">
        <v>11</v>
      </c>
      <c r="E83" s="10">
        <v>10</v>
      </c>
      <c r="F83" s="11"/>
      <c r="G83" s="11">
        <v>1686</v>
      </c>
      <c r="H83" s="12">
        <v>0</v>
      </c>
      <c r="I83" s="12">
        <f>Report_2026_Q2[[#This Row],[withdrawls villa ]]*Report_2026_Q2[[#This Row],[cost by unit ]]</f>
        <v>0</v>
      </c>
      <c r="J83" s="12">
        <v>0</v>
      </c>
      <c r="K83" s="12">
        <f>Report_2026_Q2[[#This Row],[withdrawls IBN ]]*Report_2026_Q2[[#This Row],[cost by unit ]]</f>
        <v>0</v>
      </c>
      <c r="L83" s="23">
        <v>0.7</v>
      </c>
      <c r="M83" s="13">
        <f>Report_2026_Q2[[#This Row],[cost villa ]]+Report_2026_Q2[[#This Row],[IBN cost ]]</f>
        <v>0</v>
      </c>
      <c r="N83" s="12">
        <f>Report_2026_Q2[[#This Row],[3 monthes  ORDER ]]*Report_2026_Q2[[#This Row],[cost by unit ]]</f>
        <v>7</v>
      </c>
      <c r="O83" s="5"/>
      <c r="P83" s="5"/>
      <c r="Q83" s="49">
        <f>Report_2026_Q2[[#This Row],[withdrawls villa ]]+Report_2026_Q2[[#This Row],[withdrawls IBN ]]</f>
        <v>0</v>
      </c>
      <c r="S83" s="49">
        <f>Report_2026_Q2[[#This Row],[3 monthes  ORDER ]]-Q83</f>
        <v>10</v>
      </c>
    </row>
    <row r="84" spans="1:19" s="15" customFormat="1" ht="15.6">
      <c r="A84" s="8"/>
      <c r="B84" s="9">
        <v>83</v>
      </c>
      <c r="C84" s="32" t="s">
        <v>102</v>
      </c>
      <c r="D84" s="22" t="s">
        <v>16</v>
      </c>
      <c r="E84" s="10"/>
      <c r="F84" s="11" t="s">
        <v>103</v>
      </c>
      <c r="G84" s="11">
        <v>9</v>
      </c>
      <c r="H84" s="12">
        <v>0</v>
      </c>
      <c r="I84" s="12">
        <f>Report_2026_Q2[[#This Row],[withdrawls villa ]]*Report_2026_Q2[[#This Row],[cost by unit ]]</f>
        <v>0</v>
      </c>
      <c r="J84" s="12">
        <v>0</v>
      </c>
      <c r="K84" s="12">
        <f>Report_2026_Q2[[#This Row],[withdrawls IBN ]]*Report_2026_Q2[[#This Row],[cost by unit ]]</f>
        <v>0</v>
      </c>
      <c r="L84" s="13">
        <v>2.85</v>
      </c>
      <c r="M84" s="13">
        <f>Report_2026_Q2[[#This Row],[cost villa ]]+Report_2026_Q2[[#This Row],[IBN cost ]]</f>
        <v>0</v>
      </c>
      <c r="N84" s="12">
        <f>Report_2026_Q2[[#This Row],[3 monthes  ORDER ]]*Report_2026_Q2[[#This Row],[cost by unit ]]</f>
        <v>0</v>
      </c>
      <c r="O84" s="14"/>
      <c r="P84" s="14"/>
      <c r="Q84" s="49">
        <f>Report_2026_Q2[[#This Row],[withdrawls villa ]]+Report_2026_Q2[[#This Row],[withdrawls IBN ]]</f>
        <v>0</v>
      </c>
      <c r="S84" s="49">
        <f>Report_2026_Q2[[#This Row],[3 monthes  ORDER ]]-Q84</f>
        <v>0</v>
      </c>
    </row>
    <row r="85" spans="1:19" s="15" customFormat="1" ht="15.6">
      <c r="A85" s="8"/>
      <c r="B85" s="9">
        <v>84</v>
      </c>
      <c r="C85" s="32" t="s">
        <v>104</v>
      </c>
      <c r="D85" s="32" t="s">
        <v>11</v>
      </c>
      <c r="E85" s="10"/>
      <c r="F85" s="11" t="s">
        <v>103</v>
      </c>
      <c r="G85" s="11">
        <v>21</v>
      </c>
      <c r="H85" s="12">
        <v>0</v>
      </c>
      <c r="I85" s="12">
        <f>Report_2026_Q2[[#This Row],[withdrawls villa ]]*Report_2026_Q2[[#This Row],[cost by unit ]]</f>
        <v>0</v>
      </c>
      <c r="J85" s="12">
        <v>0</v>
      </c>
      <c r="K85" s="12">
        <f>Report_2026_Q2[[#This Row],[withdrawls IBN ]]*Report_2026_Q2[[#This Row],[cost by unit ]]</f>
        <v>0</v>
      </c>
      <c r="L85" s="13">
        <v>1.5</v>
      </c>
      <c r="M85" s="13">
        <f>Report_2026_Q2[[#This Row],[cost villa ]]+Report_2026_Q2[[#This Row],[IBN cost ]]</f>
        <v>0</v>
      </c>
      <c r="N85" s="12">
        <f>Report_2026_Q2[[#This Row],[3 monthes  ORDER ]]*Report_2026_Q2[[#This Row],[cost by unit ]]</f>
        <v>0</v>
      </c>
      <c r="O85" s="14"/>
      <c r="P85" s="14"/>
      <c r="Q85" s="49">
        <f>Report_2026_Q2[[#This Row],[withdrawls villa ]]+Report_2026_Q2[[#This Row],[withdrawls IBN ]]</f>
        <v>0</v>
      </c>
      <c r="S85" s="49">
        <f>Report_2026_Q2[[#This Row],[3 monthes  ORDER ]]-Q85</f>
        <v>0</v>
      </c>
    </row>
    <row r="86" spans="1:19" s="15" customFormat="1" ht="15.6">
      <c r="A86" s="8"/>
      <c r="B86" s="9">
        <v>85</v>
      </c>
      <c r="C86" s="32" t="s">
        <v>105</v>
      </c>
      <c r="D86" s="32" t="s">
        <v>11</v>
      </c>
      <c r="E86" s="10">
        <v>10</v>
      </c>
      <c r="F86" s="11" t="s">
        <v>103</v>
      </c>
      <c r="G86" s="11">
        <v>8</v>
      </c>
      <c r="H86" s="12">
        <v>0</v>
      </c>
      <c r="I86" s="12">
        <f>Report_2026_Q2[[#This Row],[withdrawls villa ]]*Report_2026_Q2[[#This Row],[cost by unit ]]</f>
        <v>0</v>
      </c>
      <c r="J86" s="12">
        <v>0</v>
      </c>
      <c r="K86" s="12">
        <f>Report_2026_Q2[[#This Row],[withdrawls IBN ]]*Report_2026_Q2[[#This Row],[cost by unit ]]</f>
        <v>0</v>
      </c>
      <c r="L86" s="13">
        <v>0.48</v>
      </c>
      <c r="M86" s="13">
        <f>Report_2026_Q2[[#This Row],[cost villa ]]+Report_2026_Q2[[#This Row],[IBN cost ]]</f>
        <v>0</v>
      </c>
      <c r="N86" s="12">
        <f>Report_2026_Q2[[#This Row],[3 monthes  ORDER ]]*Report_2026_Q2[[#This Row],[cost by unit ]]</f>
        <v>4.8</v>
      </c>
      <c r="O86" s="14"/>
      <c r="P86" s="14"/>
      <c r="Q86" s="49">
        <f>Report_2026_Q2[[#This Row],[withdrawls villa ]]+Report_2026_Q2[[#This Row],[withdrawls IBN ]]</f>
        <v>0</v>
      </c>
      <c r="S86" s="49">
        <f>Report_2026_Q2[[#This Row],[3 monthes  ORDER ]]-Q86</f>
        <v>10</v>
      </c>
    </row>
    <row r="87" spans="1:19" s="15" customFormat="1" ht="15.6">
      <c r="A87" s="8"/>
      <c r="B87" s="9">
        <v>86</v>
      </c>
      <c r="C87" s="32" t="s">
        <v>106</v>
      </c>
      <c r="D87" s="32" t="s">
        <v>11</v>
      </c>
      <c r="E87" s="10">
        <v>5</v>
      </c>
      <c r="F87" s="11" t="s">
        <v>103</v>
      </c>
      <c r="G87" s="11">
        <v>2</v>
      </c>
      <c r="H87" s="12">
        <v>0</v>
      </c>
      <c r="I87" s="12">
        <f>Report_2026_Q2[[#This Row],[withdrawls villa ]]*Report_2026_Q2[[#This Row],[cost by unit ]]</f>
        <v>0</v>
      </c>
      <c r="J87" s="12">
        <v>0</v>
      </c>
      <c r="K87" s="12">
        <f>Report_2026_Q2[[#This Row],[withdrawls IBN ]]*Report_2026_Q2[[#This Row],[cost by unit ]]</f>
        <v>0</v>
      </c>
      <c r="L87" s="13">
        <v>2.2000000000000002</v>
      </c>
      <c r="M87" s="13">
        <f>Report_2026_Q2[[#This Row],[cost villa ]]+Report_2026_Q2[[#This Row],[IBN cost ]]</f>
        <v>0</v>
      </c>
      <c r="N87" s="12">
        <f>Report_2026_Q2[[#This Row],[3 monthes  ORDER ]]*Report_2026_Q2[[#This Row],[cost by unit ]]</f>
        <v>11</v>
      </c>
      <c r="O87" s="14"/>
      <c r="P87" s="14"/>
      <c r="Q87" s="49">
        <f>Report_2026_Q2[[#This Row],[withdrawls villa ]]+Report_2026_Q2[[#This Row],[withdrawls IBN ]]</f>
        <v>0</v>
      </c>
      <c r="S87" s="49">
        <f>Report_2026_Q2[[#This Row],[3 monthes  ORDER ]]-Q87</f>
        <v>5</v>
      </c>
    </row>
    <row r="88" spans="1:19" s="15" customFormat="1" ht="15.6">
      <c r="A88" s="8"/>
      <c r="B88" s="9">
        <v>87</v>
      </c>
      <c r="C88" s="32" t="s">
        <v>107</v>
      </c>
      <c r="D88" s="32" t="s">
        <v>11</v>
      </c>
      <c r="E88" s="10">
        <v>15</v>
      </c>
      <c r="F88" s="11" t="s">
        <v>103</v>
      </c>
      <c r="G88" s="11">
        <v>10</v>
      </c>
      <c r="H88" s="12">
        <v>0</v>
      </c>
      <c r="I88" s="12">
        <f>Report_2026_Q2[[#This Row],[withdrawls villa ]]*Report_2026_Q2[[#This Row],[cost by unit ]]</f>
        <v>0</v>
      </c>
      <c r="J88" s="12">
        <v>0</v>
      </c>
      <c r="K88" s="12">
        <f>Report_2026_Q2[[#This Row],[withdrawls IBN ]]*Report_2026_Q2[[#This Row],[cost by unit ]]</f>
        <v>0</v>
      </c>
      <c r="L88" s="13">
        <v>7</v>
      </c>
      <c r="M88" s="13">
        <f>Report_2026_Q2[[#This Row],[cost villa ]]+Report_2026_Q2[[#This Row],[IBN cost ]]</f>
        <v>0</v>
      </c>
      <c r="N88" s="12">
        <f>Report_2026_Q2[[#This Row],[3 monthes  ORDER ]]*Report_2026_Q2[[#This Row],[cost by unit ]]</f>
        <v>105</v>
      </c>
      <c r="O88" s="14"/>
      <c r="P88" s="14"/>
      <c r="Q88" s="49">
        <f>Report_2026_Q2[[#This Row],[withdrawls villa ]]+Report_2026_Q2[[#This Row],[withdrawls IBN ]]</f>
        <v>0</v>
      </c>
      <c r="S88" s="49">
        <f>Report_2026_Q2[[#This Row],[3 monthes  ORDER ]]-Q88</f>
        <v>15</v>
      </c>
    </row>
    <row r="89" spans="1:19" s="15" customFormat="1" ht="15.6">
      <c r="A89" s="8"/>
      <c r="B89" s="9">
        <v>88</v>
      </c>
      <c r="C89" s="32" t="s">
        <v>108</v>
      </c>
      <c r="D89" s="22" t="s">
        <v>16</v>
      </c>
      <c r="E89" s="10">
        <v>10</v>
      </c>
      <c r="F89" s="11" t="s">
        <v>103</v>
      </c>
      <c r="G89" s="11">
        <v>9</v>
      </c>
      <c r="H89" s="12">
        <v>0</v>
      </c>
      <c r="I89" s="12">
        <f>Report_2026_Q2[[#This Row],[withdrawls villa ]]*Report_2026_Q2[[#This Row],[cost by unit ]]</f>
        <v>0</v>
      </c>
      <c r="J89" s="12">
        <v>0</v>
      </c>
      <c r="K89" s="12">
        <f>Report_2026_Q2[[#This Row],[withdrawls IBN ]]*Report_2026_Q2[[#This Row],[cost by unit ]]</f>
        <v>0</v>
      </c>
      <c r="L89" s="13">
        <v>14</v>
      </c>
      <c r="M89" s="13">
        <f>Report_2026_Q2[[#This Row],[cost villa ]]+Report_2026_Q2[[#This Row],[IBN cost ]]</f>
        <v>0</v>
      </c>
      <c r="N89" s="12">
        <f>Report_2026_Q2[[#This Row],[3 monthes  ORDER ]]*Report_2026_Q2[[#This Row],[cost by unit ]]</f>
        <v>140</v>
      </c>
      <c r="O89" s="14"/>
      <c r="P89" s="14"/>
      <c r="Q89" s="49">
        <f>Report_2026_Q2[[#This Row],[withdrawls villa ]]+Report_2026_Q2[[#This Row],[withdrawls IBN ]]</f>
        <v>0</v>
      </c>
      <c r="S89" s="49">
        <f>Report_2026_Q2[[#This Row],[3 monthes  ORDER ]]-Q89</f>
        <v>10</v>
      </c>
    </row>
    <row r="90" spans="1:19" s="15" customFormat="1" ht="15.6">
      <c r="A90" s="8"/>
      <c r="B90" s="9">
        <v>89</v>
      </c>
      <c r="C90" s="32" t="s">
        <v>109</v>
      </c>
      <c r="D90" s="32" t="s">
        <v>11</v>
      </c>
      <c r="E90" s="10">
        <v>5</v>
      </c>
      <c r="F90" s="11" t="s">
        <v>103</v>
      </c>
      <c r="G90" s="11">
        <v>1</v>
      </c>
      <c r="H90" s="12">
        <v>0</v>
      </c>
      <c r="I90" s="12">
        <f>Report_2026_Q2[[#This Row],[withdrawls villa ]]*Report_2026_Q2[[#This Row],[cost by unit ]]</f>
        <v>0</v>
      </c>
      <c r="J90" s="12">
        <v>0</v>
      </c>
      <c r="K90" s="12">
        <f>Report_2026_Q2[[#This Row],[withdrawls IBN ]]*Report_2026_Q2[[#This Row],[cost by unit ]]</f>
        <v>0</v>
      </c>
      <c r="L90" s="13">
        <v>1.5</v>
      </c>
      <c r="M90" s="13">
        <f>Report_2026_Q2[[#This Row],[cost villa ]]+Report_2026_Q2[[#This Row],[IBN cost ]]</f>
        <v>0</v>
      </c>
      <c r="N90" s="12">
        <f>Report_2026_Q2[[#This Row],[3 monthes  ORDER ]]*Report_2026_Q2[[#This Row],[cost by unit ]]</f>
        <v>7.5</v>
      </c>
      <c r="O90" s="14"/>
      <c r="P90" s="14"/>
      <c r="Q90" s="49">
        <f>Report_2026_Q2[[#This Row],[withdrawls villa ]]+Report_2026_Q2[[#This Row],[withdrawls IBN ]]</f>
        <v>0</v>
      </c>
      <c r="S90" s="49">
        <f>Report_2026_Q2[[#This Row],[3 monthes  ORDER ]]-Q90</f>
        <v>5</v>
      </c>
    </row>
    <row r="91" spans="1:19" s="15" customFormat="1" ht="15.6">
      <c r="A91" s="8"/>
      <c r="B91" s="9">
        <v>90</v>
      </c>
      <c r="C91" s="32" t="s">
        <v>110</v>
      </c>
      <c r="D91" s="32" t="s">
        <v>11</v>
      </c>
      <c r="E91" s="10">
        <v>0</v>
      </c>
      <c r="F91" s="11" t="s">
        <v>103</v>
      </c>
      <c r="G91" s="11">
        <v>9</v>
      </c>
      <c r="H91" s="12">
        <v>0</v>
      </c>
      <c r="I91" s="12">
        <f>Report_2026_Q2[[#This Row],[withdrawls villa ]]*Report_2026_Q2[[#This Row],[cost by unit ]]</f>
        <v>0</v>
      </c>
      <c r="J91" s="12">
        <v>0</v>
      </c>
      <c r="K91" s="12">
        <f>Report_2026_Q2[[#This Row],[withdrawls IBN ]]*Report_2026_Q2[[#This Row],[cost by unit ]]</f>
        <v>0</v>
      </c>
      <c r="L91" s="13">
        <v>26</v>
      </c>
      <c r="M91" s="13">
        <f>Report_2026_Q2[[#This Row],[cost villa ]]+Report_2026_Q2[[#This Row],[IBN cost ]]</f>
        <v>0</v>
      </c>
      <c r="N91" s="12">
        <f>Report_2026_Q2[[#This Row],[3 monthes  ORDER ]]*Report_2026_Q2[[#This Row],[cost by unit ]]</f>
        <v>0</v>
      </c>
      <c r="O91" s="14"/>
      <c r="P91" s="14"/>
      <c r="Q91" s="49">
        <f>Report_2026_Q2[[#This Row],[withdrawls villa ]]+Report_2026_Q2[[#This Row],[withdrawls IBN ]]</f>
        <v>0</v>
      </c>
      <c r="S91" s="49">
        <f>Report_2026_Q2[[#This Row],[3 monthes  ORDER ]]-Q91</f>
        <v>0</v>
      </c>
    </row>
    <row r="92" spans="1:19" s="15" customFormat="1" ht="15.6">
      <c r="A92" s="8"/>
      <c r="B92" s="9">
        <v>91</v>
      </c>
      <c r="C92" s="32" t="s">
        <v>111</v>
      </c>
      <c r="D92" s="22" t="s">
        <v>16</v>
      </c>
      <c r="E92" s="10">
        <v>20</v>
      </c>
      <c r="F92" s="11" t="s">
        <v>103</v>
      </c>
      <c r="G92" s="11">
        <v>3</v>
      </c>
      <c r="H92" s="12">
        <v>0</v>
      </c>
      <c r="I92" s="12">
        <f>Report_2026_Q2[[#This Row],[withdrawls villa ]]*Report_2026_Q2[[#This Row],[cost by unit ]]</f>
        <v>0</v>
      </c>
      <c r="J92" s="12">
        <v>0</v>
      </c>
      <c r="K92" s="12">
        <f>Report_2026_Q2[[#This Row],[withdrawls IBN ]]*Report_2026_Q2[[#This Row],[cost by unit ]]</f>
        <v>0</v>
      </c>
      <c r="L92" s="13">
        <v>11</v>
      </c>
      <c r="M92" s="13">
        <f>Report_2026_Q2[[#This Row],[cost villa ]]+Report_2026_Q2[[#This Row],[IBN cost ]]</f>
        <v>0</v>
      </c>
      <c r="N92" s="12">
        <f>Report_2026_Q2[[#This Row],[3 monthes  ORDER ]]*Report_2026_Q2[[#This Row],[cost by unit ]]</f>
        <v>220</v>
      </c>
      <c r="O92" s="14"/>
      <c r="P92" s="14"/>
      <c r="Q92" s="49">
        <f>Report_2026_Q2[[#This Row],[withdrawls villa ]]+Report_2026_Q2[[#This Row],[withdrawls IBN ]]</f>
        <v>0</v>
      </c>
      <c r="S92" s="49">
        <f>Report_2026_Q2[[#This Row],[3 monthes  ORDER ]]-Q92</f>
        <v>20</v>
      </c>
    </row>
    <row r="93" spans="1:19" s="15" customFormat="1" ht="15.6">
      <c r="A93" s="8"/>
      <c r="B93" s="9">
        <v>92</v>
      </c>
      <c r="C93" s="32" t="s">
        <v>112</v>
      </c>
      <c r="D93" s="22" t="s">
        <v>52</v>
      </c>
      <c r="E93" s="10">
        <v>5</v>
      </c>
      <c r="F93" s="11" t="s">
        <v>103</v>
      </c>
      <c r="G93" s="11">
        <v>11</v>
      </c>
      <c r="H93" s="12">
        <v>0</v>
      </c>
      <c r="I93" s="12">
        <f>Report_2026_Q2[[#This Row],[withdrawls villa ]]*Report_2026_Q2[[#This Row],[cost by unit ]]</f>
        <v>0</v>
      </c>
      <c r="J93" s="12">
        <v>0</v>
      </c>
      <c r="K93" s="12">
        <f>Report_2026_Q2[[#This Row],[withdrawls IBN ]]*Report_2026_Q2[[#This Row],[cost by unit ]]</f>
        <v>0</v>
      </c>
      <c r="L93" s="13">
        <v>17</v>
      </c>
      <c r="M93" s="13">
        <f>Report_2026_Q2[[#This Row],[cost villa ]]+Report_2026_Q2[[#This Row],[IBN cost ]]</f>
        <v>0</v>
      </c>
      <c r="N93" s="12">
        <f>Report_2026_Q2[[#This Row],[3 monthes  ORDER ]]*Report_2026_Q2[[#This Row],[cost by unit ]]</f>
        <v>85</v>
      </c>
      <c r="O93" s="14"/>
      <c r="P93" s="14"/>
      <c r="Q93" s="49">
        <f>Report_2026_Q2[[#This Row],[withdrawls villa ]]+Report_2026_Q2[[#This Row],[withdrawls IBN ]]</f>
        <v>0</v>
      </c>
      <c r="S93" s="49">
        <f>Report_2026_Q2[[#This Row],[3 monthes  ORDER ]]-Q93</f>
        <v>5</v>
      </c>
    </row>
    <row r="94" spans="1:19" s="15" customFormat="1" ht="15.6">
      <c r="A94" s="8"/>
      <c r="B94" s="9">
        <v>93</v>
      </c>
      <c r="C94" s="32" t="s">
        <v>113</v>
      </c>
      <c r="D94" s="32" t="s">
        <v>11</v>
      </c>
      <c r="E94" s="10">
        <v>5</v>
      </c>
      <c r="F94" s="11" t="s">
        <v>103</v>
      </c>
      <c r="G94" s="11">
        <v>12</v>
      </c>
      <c r="H94" s="12">
        <v>0</v>
      </c>
      <c r="I94" s="12">
        <f>Report_2026_Q2[[#This Row],[withdrawls villa ]]*Report_2026_Q2[[#This Row],[cost by unit ]]</f>
        <v>0</v>
      </c>
      <c r="J94" s="12">
        <v>0</v>
      </c>
      <c r="K94" s="12">
        <f>Report_2026_Q2[[#This Row],[withdrawls IBN ]]*Report_2026_Q2[[#This Row],[cost by unit ]]</f>
        <v>0</v>
      </c>
      <c r="L94" s="13">
        <v>12.5</v>
      </c>
      <c r="M94" s="13">
        <f>Report_2026_Q2[[#This Row],[cost villa ]]+Report_2026_Q2[[#This Row],[IBN cost ]]</f>
        <v>0</v>
      </c>
      <c r="N94" s="12">
        <f>Report_2026_Q2[[#This Row],[3 monthes  ORDER ]]*Report_2026_Q2[[#This Row],[cost by unit ]]</f>
        <v>62.5</v>
      </c>
      <c r="O94" s="14"/>
      <c r="P94" s="14"/>
      <c r="Q94" s="49">
        <f>Report_2026_Q2[[#This Row],[withdrawls villa ]]+Report_2026_Q2[[#This Row],[withdrawls IBN ]]</f>
        <v>0</v>
      </c>
      <c r="S94" s="49">
        <f>Report_2026_Q2[[#This Row],[3 monthes  ORDER ]]-Q94</f>
        <v>5</v>
      </c>
    </row>
    <row r="95" spans="1:19" s="15" customFormat="1" ht="15.6">
      <c r="A95" s="8"/>
      <c r="B95" s="9">
        <v>94</v>
      </c>
      <c r="C95" s="32" t="s">
        <v>114</v>
      </c>
      <c r="D95" s="22" t="s">
        <v>16</v>
      </c>
      <c r="E95" s="10">
        <v>5</v>
      </c>
      <c r="F95" s="11" t="s">
        <v>103</v>
      </c>
      <c r="G95" s="11">
        <v>0</v>
      </c>
      <c r="H95" s="12">
        <v>0</v>
      </c>
      <c r="I95" s="12">
        <f>Report_2026_Q2[[#This Row],[withdrawls villa ]]*Report_2026_Q2[[#This Row],[cost by unit ]]</f>
        <v>0</v>
      </c>
      <c r="J95" s="12">
        <v>0</v>
      </c>
      <c r="K95" s="12">
        <f>Report_2026_Q2[[#This Row],[withdrawls IBN ]]*Report_2026_Q2[[#This Row],[cost by unit ]]</f>
        <v>0</v>
      </c>
      <c r="L95" s="13">
        <v>143</v>
      </c>
      <c r="M95" s="13">
        <f>Report_2026_Q2[[#This Row],[cost villa ]]+Report_2026_Q2[[#This Row],[IBN cost ]]</f>
        <v>0</v>
      </c>
      <c r="N95" s="12">
        <f>Report_2026_Q2[[#This Row],[3 monthes  ORDER ]]*Report_2026_Q2[[#This Row],[cost by unit ]]</f>
        <v>715</v>
      </c>
      <c r="O95" s="14"/>
      <c r="P95" s="14"/>
      <c r="Q95" s="49">
        <f>Report_2026_Q2[[#This Row],[withdrawls villa ]]+Report_2026_Q2[[#This Row],[withdrawls IBN ]]</f>
        <v>0</v>
      </c>
      <c r="S95" s="49">
        <f>Report_2026_Q2[[#This Row],[3 monthes  ORDER ]]-Q95</f>
        <v>5</v>
      </c>
    </row>
    <row r="96" spans="1:19" s="15" customFormat="1" ht="15.6">
      <c r="A96" s="8"/>
      <c r="B96" s="9">
        <v>95</v>
      </c>
      <c r="C96" s="32" t="s">
        <v>115</v>
      </c>
      <c r="D96" s="22" t="s">
        <v>16</v>
      </c>
      <c r="E96" s="10">
        <v>0</v>
      </c>
      <c r="F96" s="11" t="s">
        <v>103</v>
      </c>
      <c r="G96" s="11">
        <v>1</v>
      </c>
      <c r="H96" s="12">
        <v>0</v>
      </c>
      <c r="I96" s="12">
        <f>Report_2026_Q2[[#This Row],[withdrawls villa ]]*Report_2026_Q2[[#This Row],[cost by unit ]]</f>
        <v>0</v>
      </c>
      <c r="J96" s="12">
        <v>0</v>
      </c>
      <c r="K96" s="12">
        <f>Report_2026_Q2[[#This Row],[withdrawls IBN ]]*Report_2026_Q2[[#This Row],[cost by unit ]]</f>
        <v>0</v>
      </c>
      <c r="L96" s="13">
        <v>18</v>
      </c>
      <c r="M96" s="13">
        <f>Report_2026_Q2[[#This Row],[cost villa ]]+Report_2026_Q2[[#This Row],[IBN cost ]]</f>
        <v>0</v>
      </c>
      <c r="N96" s="12">
        <f>Report_2026_Q2[[#This Row],[3 monthes  ORDER ]]*Report_2026_Q2[[#This Row],[cost by unit ]]</f>
        <v>0</v>
      </c>
      <c r="O96" s="14"/>
      <c r="P96" s="14"/>
      <c r="Q96" s="49">
        <f>Report_2026_Q2[[#This Row],[withdrawls villa ]]+Report_2026_Q2[[#This Row],[withdrawls IBN ]]</f>
        <v>0</v>
      </c>
      <c r="S96" s="49">
        <f>Report_2026_Q2[[#This Row],[3 monthes  ORDER ]]-Q96</f>
        <v>0</v>
      </c>
    </row>
    <row r="97" spans="1:19" s="15" customFormat="1" ht="15.05" customHeight="1">
      <c r="A97" s="8"/>
      <c r="B97" s="9">
        <v>96</v>
      </c>
      <c r="C97" s="32" t="s">
        <v>116</v>
      </c>
      <c r="D97" s="22" t="s">
        <v>16</v>
      </c>
      <c r="E97" s="10">
        <v>0</v>
      </c>
      <c r="F97" s="11" t="s">
        <v>103</v>
      </c>
      <c r="G97" s="11">
        <v>1</v>
      </c>
      <c r="H97" s="12">
        <v>0</v>
      </c>
      <c r="I97" s="12">
        <f>Report_2026_Q2[[#This Row],[withdrawls villa ]]*Report_2026_Q2[[#This Row],[cost by unit ]]</f>
        <v>0</v>
      </c>
      <c r="J97" s="12">
        <v>0</v>
      </c>
      <c r="K97" s="12">
        <f>Report_2026_Q2[[#This Row],[withdrawls IBN ]]*Report_2026_Q2[[#This Row],[cost by unit ]]</f>
        <v>0</v>
      </c>
      <c r="L97" s="13">
        <v>6</v>
      </c>
      <c r="M97" s="13">
        <f>Report_2026_Q2[[#This Row],[cost villa ]]+Report_2026_Q2[[#This Row],[IBN cost ]]</f>
        <v>0</v>
      </c>
      <c r="N97" s="12">
        <f>Report_2026_Q2[[#This Row],[3 monthes  ORDER ]]*Report_2026_Q2[[#This Row],[cost by unit ]]</f>
        <v>0</v>
      </c>
      <c r="O97" s="14"/>
      <c r="P97" s="14"/>
      <c r="Q97" s="49">
        <f>Report_2026_Q2[[#This Row],[withdrawls villa ]]+Report_2026_Q2[[#This Row],[withdrawls IBN ]]</f>
        <v>0</v>
      </c>
      <c r="S97" s="49">
        <f>Report_2026_Q2[[#This Row],[3 monthes  ORDER ]]-Q97</f>
        <v>0</v>
      </c>
    </row>
    <row r="98" spans="1:19" s="15" customFormat="1" ht="15.6">
      <c r="A98" s="8"/>
      <c r="B98" s="9">
        <v>97</v>
      </c>
      <c r="C98" s="32" t="s">
        <v>117</v>
      </c>
      <c r="D98" s="22" t="s">
        <v>52</v>
      </c>
      <c r="E98" s="10"/>
      <c r="F98" s="11" t="s">
        <v>103</v>
      </c>
      <c r="G98" s="11">
        <v>9</v>
      </c>
      <c r="H98" s="12">
        <v>0</v>
      </c>
      <c r="I98" s="12">
        <f>Report_2026_Q2[[#This Row],[withdrawls villa ]]*Report_2026_Q2[[#This Row],[cost by unit ]]</f>
        <v>0</v>
      </c>
      <c r="J98" s="12">
        <v>0</v>
      </c>
      <c r="K98" s="12">
        <f>Report_2026_Q2[[#This Row],[withdrawls IBN ]]*Report_2026_Q2[[#This Row],[cost by unit ]]</f>
        <v>0</v>
      </c>
      <c r="L98" s="13">
        <v>11</v>
      </c>
      <c r="M98" s="13">
        <f>Report_2026_Q2[[#This Row],[cost villa ]]+Report_2026_Q2[[#This Row],[IBN cost ]]</f>
        <v>0</v>
      </c>
      <c r="N98" s="12">
        <f>Report_2026_Q2[[#This Row],[3 monthes  ORDER ]]*Report_2026_Q2[[#This Row],[cost by unit ]]</f>
        <v>0</v>
      </c>
      <c r="O98" s="14"/>
      <c r="P98" s="14"/>
      <c r="Q98" s="49">
        <f>Report_2026_Q2[[#This Row],[withdrawls villa ]]+Report_2026_Q2[[#This Row],[withdrawls IBN ]]</f>
        <v>0</v>
      </c>
      <c r="S98" s="49">
        <f>Report_2026_Q2[[#This Row],[3 monthes  ORDER ]]-Q98</f>
        <v>0</v>
      </c>
    </row>
    <row r="99" spans="1:19" s="15" customFormat="1" ht="15.6">
      <c r="A99" s="8"/>
      <c r="B99" s="9">
        <v>98</v>
      </c>
      <c r="C99" s="37" t="s">
        <v>118</v>
      </c>
      <c r="D99" s="22" t="s">
        <v>28</v>
      </c>
      <c r="E99" s="10">
        <v>5</v>
      </c>
      <c r="F99" s="11" t="s">
        <v>103</v>
      </c>
      <c r="G99" s="11">
        <v>0</v>
      </c>
      <c r="H99" s="12">
        <v>0</v>
      </c>
      <c r="I99" s="12">
        <f>Report_2026_Q2[[#This Row],[withdrawls villa ]]*Report_2026_Q2[[#This Row],[cost by unit ]]</f>
        <v>0</v>
      </c>
      <c r="J99" s="12">
        <v>0</v>
      </c>
      <c r="K99" s="12">
        <f>Report_2026_Q2[[#This Row],[withdrawls IBN ]]*Report_2026_Q2[[#This Row],[cost by unit ]]</f>
        <v>0</v>
      </c>
      <c r="L99" s="13">
        <v>45</v>
      </c>
      <c r="M99" s="13">
        <f>Report_2026_Q2[[#This Row],[cost villa ]]+Report_2026_Q2[[#This Row],[IBN cost ]]</f>
        <v>0</v>
      </c>
      <c r="N99" s="12">
        <f>Report_2026_Q2[[#This Row],[3 monthes  ORDER ]]*Report_2026_Q2[[#This Row],[cost by unit ]]</f>
        <v>225</v>
      </c>
      <c r="O99" s="14"/>
      <c r="P99" s="14"/>
      <c r="Q99" s="49">
        <f>Report_2026_Q2[[#This Row],[withdrawls villa ]]+Report_2026_Q2[[#This Row],[withdrawls IBN ]]</f>
        <v>0</v>
      </c>
      <c r="S99" s="49">
        <f>Report_2026_Q2[[#This Row],[3 monthes  ORDER ]]-Q99</f>
        <v>5</v>
      </c>
    </row>
    <row r="100" spans="1:19" s="15" customFormat="1" ht="15.6">
      <c r="A100" s="8"/>
      <c r="B100" s="9">
        <v>99</v>
      </c>
      <c r="C100" s="32" t="s">
        <v>119</v>
      </c>
      <c r="D100" s="32" t="s">
        <v>11</v>
      </c>
      <c r="E100" s="10">
        <v>10</v>
      </c>
      <c r="F100" s="11" t="s">
        <v>103</v>
      </c>
      <c r="G100" s="11">
        <v>6</v>
      </c>
      <c r="H100" s="12">
        <v>0</v>
      </c>
      <c r="I100" s="12">
        <f>Report_2026_Q2[[#This Row],[withdrawls villa ]]*Report_2026_Q2[[#This Row],[cost by unit ]]</f>
        <v>0</v>
      </c>
      <c r="J100" s="12">
        <v>0</v>
      </c>
      <c r="K100" s="12">
        <f>Report_2026_Q2[[#This Row],[withdrawls IBN ]]*Report_2026_Q2[[#This Row],[cost by unit ]]</f>
        <v>0</v>
      </c>
      <c r="L100" s="13">
        <v>25</v>
      </c>
      <c r="M100" s="13">
        <f>Report_2026_Q2[[#This Row],[cost villa ]]+Report_2026_Q2[[#This Row],[IBN cost ]]</f>
        <v>0</v>
      </c>
      <c r="N100" s="12">
        <f>Report_2026_Q2[[#This Row],[3 monthes  ORDER ]]*Report_2026_Q2[[#This Row],[cost by unit ]]</f>
        <v>250</v>
      </c>
      <c r="O100" s="14"/>
      <c r="P100" s="14"/>
      <c r="Q100" s="49">
        <f>Report_2026_Q2[[#This Row],[withdrawls villa ]]+Report_2026_Q2[[#This Row],[withdrawls IBN ]]</f>
        <v>0</v>
      </c>
      <c r="S100" s="49">
        <f>Report_2026_Q2[[#This Row],[3 monthes  ORDER ]]-Q100</f>
        <v>10</v>
      </c>
    </row>
    <row r="101" spans="1:19" s="15" customFormat="1" ht="15.6">
      <c r="A101" s="8"/>
      <c r="B101" s="9">
        <v>100</v>
      </c>
      <c r="C101" s="37" t="s">
        <v>120</v>
      </c>
      <c r="D101" s="22" t="s">
        <v>16</v>
      </c>
      <c r="E101" s="10">
        <v>30</v>
      </c>
      <c r="F101" s="11" t="s">
        <v>103</v>
      </c>
      <c r="G101" s="11">
        <v>1</v>
      </c>
      <c r="H101" s="12">
        <v>0</v>
      </c>
      <c r="I101" s="12">
        <f>Report_2026_Q2[[#This Row],[withdrawls villa ]]*Report_2026_Q2[[#This Row],[cost by unit ]]</f>
        <v>0</v>
      </c>
      <c r="J101" s="12">
        <v>0</v>
      </c>
      <c r="K101" s="12">
        <f>Report_2026_Q2[[#This Row],[withdrawls IBN ]]*Report_2026_Q2[[#This Row],[cost by unit ]]</f>
        <v>0</v>
      </c>
      <c r="L101" s="13">
        <v>40</v>
      </c>
      <c r="M101" s="13">
        <f>Report_2026_Q2[[#This Row],[cost villa ]]+Report_2026_Q2[[#This Row],[IBN cost ]]</f>
        <v>0</v>
      </c>
      <c r="N101" s="12">
        <f>Report_2026_Q2[[#This Row],[3 monthes  ORDER ]]*Report_2026_Q2[[#This Row],[cost by unit ]]</f>
        <v>1200</v>
      </c>
      <c r="O101" s="14"/>
      <c r="P101" s="14"/>
      <c r="Q101" s="49">
        <f>Report_2026_Q2[[#This Row],[withdrawls villa ]]+Report_2026_Q2[[#This Row],[withdrawls IBN ]]</f>
        <v>0</v>
      </c>
      <c r="S101" s="49">
        <f>Report_2026_Q2[[#This Row],[3 monthes  ORDER ]]-Q101</f>
        <v>30</v>
      </c>
    </row>
    <row r="102" spans="1:19" s="6" customFormat="1" ht="15.6">
      <c r="A102" s="8"/>
      <c r="B102" s="9">
        <v>101</v>
      </c>
      <c r="C102" s="37" t="s">
        <v>121</v>
      </c>
      <c r="D102" s="22" t="s">
        <v>16</v>
      </c>
      <c r="E102" s="10">
        <v>30</v>
      </c>
      <c r="F102" s="11" t="s">
        <v>103</v>
      </c>
      <c r="G102" s="11">
        <v>4</v>
      </c>
      <c r="H102" s="12">
        <v>0</v>
      </c>
      <c r="I102" s="12">
        <f>Report_2026_Q2[[#This Row],[withdrawls villa ]]*Report_2026_Q2[[#This Row],[cost by unit ]]</f>
        <v>0</v>
      </c>
      <c r="J102" s="12">
        <v>0</v>
      </c>
      <c r="K102" s="12">
        <f>Report_2026_Q2[[#This Row],[withdrawls IBN ]]*Report_2026_Q2[[#This Row],[cost by unit ]]</f>
        <v>0</v>
      </c>
      <c r="L102" s="13">
        <v>1.2</v>
      </c>
      <c r="M102" s="13">
        <f>Report_2026_Q2[[#This Row],[cost villa ]]+Report_2026_Q2[[#This Row],[IBN cost ]]</f>
        <v>0</v>
      </c>
      <c r="N102" s="12">
        <f>Report_2026_Q2[[#This Row],[3 monthes  ORDER ]]*Report_2026_Q2[[#This Row],[cost by unit ]]</f>
        <v>36</v>
      </c>
      <c r="O102" s="5"/>
      <c r="P102" s="5"/>
      <c r="Q102" s="49">
        <f>Report_2026_Q2[[#This Row],[withdrawls villa ]]+Report_2026_Q2[[#This Row],[withdrawls IBN ]]</f>
        <v>0</v>
      </c>
      <c r="S102" s="49">
        <f>Report_2026_Q2[[#This Row],[3 monthes  ORDER ]]-Q102</f>
        <v>30</v>
      </c>
    </row>
    <row r="103" spans="1:19" s="6" customFormat="1" ht="15.6">
      <c r="A103" s="8"/>
      <c r="B103" s="9">
        <v>102</v>
      </c>
      <c r="C103" s="37" t="s">
        <v>122</v>
      </c>
      <c r="D103" s="32" t="s">
        <v>11</v>
      </c>
      <c r="E103" s="10">
        <v>2</v>
      </c>
      <c r="F103" s="11" t="s">
        <v>103</v>
      </c>
      <c r="G103" s="11">
        <v>1</v>
      </c>
      <c r="H103" s="12">
        <v>0</v>
      </c>
      <c r="I103" s="12">
        <f>Report_2026_Q2[[#This Row],[withdrawls villa ]]*Report_2026_Q2[[#This Row],[cost by unit ]]</f>
        <v>0</v>
      </c>
      <c r="J103" s="12">
        <v>0</v>
      </c>
      <c r="K103" s="12">
        <f>Report_2026_Q2[[#This Row],[withdrawls IBN ]]*Report_2026_Q2[[#This Row],[cost by unit ]]</f>
        <v>0</v>
      </c>
      <c r="L103" s="13">
        <v>7.0000000000000007E-2</v>
      </c>
      <c r="M103" s="13">
        <f>Report_2026_Q2[[#This Row],[cost villa ]]+Report_2026_Q2[[#This Row],[IBN cost ]]</f>
        <v>0</v>
      </c>
      <c r="N103" s="12">
        <f>Report_2026_Q2[[#This Row],[3 monthes  ORDER ]]*Report_2026_Q2[[#This Row],[cost by unit ]]</f>
        <v>0.14000000000000001</v>
      </c>
      <c r="O103" s="5"/>
      <c r="P103" s="5"/>
      <c r="Q103" s="49">
        <f>Report_2026_Q2[[#This Row],[withdrawls villa ]]+Report_2026_Q2[[#This Row],[withdrawls IBN ]]</f>
        <v>0</v>
      </c>
      <c r="S103" s="49">
        <f>Report_2026_Q2[[#This Row],[3 monthes  ORDER ]]-Q103</f>
        <v>2</v>
      </c>
    </row>
    <row r="104" spans="1:19" s="6" customFormat="1" ht="15.6">
      <c r="A104" s="8"/>
      <c r="B104" s="9">
        <v>103</v>
      </c>
      <c r="C104" s="37" t="s">
        <v>123</v>
      </c>
      <c r="D104" s="32" t="s">
        <v>11</v>
      </c>
      <c r="E104" s="10">
        <v>2</v>
      </c>
      <c r="F104" s="11" t="s">
        <v>103</v>
      </c>
      <c r="G104" s="11">
        <v>20</v>
      </c>
      <c r="H104" s="12">
        <v>0</v>
      </c>
      <c r="I104" s="12">
        <f>Report_2026_Q2[[#This Row],[withdrawls villa ]]*Report_2026_Q2[[#This Row],[cost by unit ]]</f>
        <v>0</v>
      </c>
      <c r="J104" s="12">
        <v>0</v>
      </c>
      <c r="K104" s="12">
        <f>Report_2026_Q2[[#This Row],[withdrawls IBN ]]*Report_2026_Q2[[#This Row],[cost by unit ]]</f>
        <v>0</v>
      </c>
      <c r="L104" s="13">
        <v>3.9</v>
      </c>
      <c r="M104" s="13">
        <f>Report_2026_Q2[[#This Row],[cost villa ]]+Report_2026_Q2[[#This Row],[IBN cost ]]</f>
        <v>0</v>
      </c>
      <c r="N104" s="12">
        <f>Report_2026_Q2[[#This Row],[3 monthes  ORDER ]]*Report_2026_Q2[[#This Row],[cost by unit ]]</f>
        <v>7.8</v>
      </c>
      <c r="O104" s="5"/>
      <c r="P104" s="5"/>
      <c r="Q104" s="49">
        <f>Report_2026_Q2[[#This Row],[withdrawls villa ]]+Report_2026_Q2[[#This Row],[withdrawls IBN ]]</f>
        <v>0</v>
      </c>
      <c r="S104" s="49">
        <f>Report_2026_Q2[[#This Row],[3 monthes  ORDER ]]-Q104</f>
        <v>2</v>
      </c>
    </row>
    <row r="105" spans="1:19" s="6" customFormat="1" ht="15.6">
      <c r="A105" s="8"/>
      <c r="B105" s="9">
        <v>104</v>
      </c>
      <c r="C105" s="37" t="s">
        <v>124</v>
      </c>
      <c r="D105" s="22" t="s">
        <v>16</v>
      </c>
      <c r="E105" s="10">
        <v>10</v>
      </c>
      <c r="F105" s="11" t="s">
        <v>103</v>
      </c>
      <c r="G105" s="11">
        <v>7</v>
      </c>
      <c r="H105" s="12">
        <v>0</v>
      </c>
      <c r="I105" s="12">
        <f>Report_2026_Q2[[#This Row],[withdrawls villa ]]*Report_2026_Q2[[#This Row],[cost by unit ]]</f>
        <v>0</v>
      </c>
      <c r="J105" s="12">
        <v>0</v>
      </c>
      <c r="K105" s="12">
        <f>Report_2026_Q2[[#This Row],[withdrawls IBN ]]*Report_2026_Q2[[#This Row],[cost by unit ]]</f>
        <v>0</v>
      </c>
      <c r="L105" s="13">
        <v>5.5</v>
      </c>
      <c r="M105" s="13">
        <f>Report_2026_Q2[[#This Row],[cost villa ]]+Report_2026_Q2[[#This Row],[IBN cost ]]</f>
        <v>0</v>
      </c>
      <c r="N105" s="12">
        <f>Report_2026_Q2[[#This Row],[3 monthes  ORDER ]]*Report_2026_Q2[[#This Row],[cost by unit ]]</f>
        <v>55</v>
      </c>
      <c r="O105" s="5"/>
      <c r="P105" s="5"/>
      <c r="Q105" s="49">
        <f>Report_2026_Q2[[#This Row],[withdrawls villa ]]+Report_2026_Q2[[#This Row],[withdrawls IBN ]]</f>
        <v>0</v>
      </c>
      <c r="S105" s="49">
        <f>Report_2026_Q2[[#This Row],[3 monthes  ORDER ]]-Q105</f>
        <v>10</v>
      </c>
    </row>
    <row r="106" spans="1:19" s="6" customFormat="1" ht="15.6">
      <c r="A106" s="8"/>
      <c r="B106" s="9">
        <v>105</v>
      </c>
      <c r="C106" s="37" t="s">
        <v>125</v>
      </c>
      <c r="D106" s="22" t="s">
        <v>16</v>
      </c>
      <c r="E106" s="10">
        <v>10</v>
      </c>
      <c r="F106" s="11" t="s">
        <v>103</v>
      </c>
      <c r="G106" s="11">
        <v>1</v>
      </c>
      <c r="H106" s="12">
        <v>0</v>
      </c>
      <c r="I106" s="12">
        <f>Report_2026_Q2[[#This Row],[withdrawls villa ]]*Report_2026_Q2[[#This Row],[cost by unit ]]</f>
        <v>0</v>
      </c>
      <c r="J106" s="12">
        <v>0</v>
      </c>
      <c r="K106" s="12">
        <f>Report_2026_Q2[[#This Row],[withdrawls IBN ]]*Report_2026_Q2[[#This Row],[cost by unit ]]</f>
        <v>0</v>
      </c>
      <c r="L106" s="13">
        <v>35</v>
      </c>
      <c r="M106" s="13">
        <f>Report_2026_Q2[[#This Row],[cost villa ]]+Report_2026_Q2[[#This Row],[IBN cost ]]</f>
        <v>0</v>
      </c>
      <c r="N106" s="12">
        <f>Report_2026_Q2[[#This Row],[3 monthes  ORDER ]]*Report_2026_Q2[[#This Row],[cost by unit ]]</f>
        <v>350</v>
      </c>
      <c r="O106" s="5"/>
      <c r="P106" s="5"/>
      <c r="Q106" s="49">
        <f>Report_2026_Q2[[#This Row],[withdrawls villa ]]+Report_2026_Q2[[#This Row],[withdrawls IBN ]]</f>
        <v>0</v>
      </c>
      <c r="S106" s="49">
        <f>Report_2026_Q2[[#This Row],[3 monthes  ORDER ]]-Q106</f>
        <v>10</v>
      </c>
    </row>
    <row r="107" spans="1:19" s="6" customFormat="1" ht="15.6">
      <c r="A107" s="8"/>
      <c r="B107" s="9">
        <v>106</v>
      </c>
      <c r="C107" s="37" t="s">
        <v>126</v>
      </c>
      <c r="D107" s="32" t="s">
        <v>11</v>
      </c>
      <c r="E107" s="10">
        <v>10</v>
      </c>
      <c r="F107" s="11" t="s">
        <v>103</v>
      </c>
      <c r="G107" s="11">
        <v>5</v>
      </c>
      <c r="H107" s="12">
        <v>0</v>
      </c>
      <c r="I107" s="12">
        <f>Report_2026_Q2[[#This Row],[withdrawls villa ]]*Report_2026_Q2[[#This Row],[cost by unit ]]</f>
        <v>0</v>
      </c>
      <c r="J107" s="12">
        <v>0</v>
      </c>
      <c r="K107" s="12">
        <f>Report_2026_Q2[[#This Row],[withdrawls IBN ]]*Report_2026_Q2[[#This Row],[cost by unit ]]</f>
        <v>0</v>
      </c>
      <c r="L107" s="13">
        <v>7.5</v>
      </c>
      <c r="M107" s="13">
        <f>Report_2026_Q2[[#This Row],[cost villa ]]+Report_2026_Q2[[#This Row],[IBN cost ]]</f>
        <v>0</v>
      </c>
      <c r="N107" s="12">
        <f>Report_2026_Q2[[#This Row],[3 monthes  ORDER ]]*Report_2026_Q2[[#This Row],[cost by unit ]]</f>
        <v>75</v>
      </c>
      <c r="O107" s="5"/>
      <c r="P107" s="5"/>
      <c r="Q107" s="49">
        <f>Report_2026_Q2[[#This Row],[withdrawls villa ]]+Report_2026_Q2[[#This Row],[withdrawls IBN ]]</f>
        <v>0</v>
      </c>
      <c r="S107" s="49">
        <f>Report_2026_Q2[[#This Row],[3 monthes  ORDER ]]-Q107</f>
        <v>10</v>
      </c>
    </row>
    <row r="108" spans="1:19" s="6" customFormat="1" ht="15.6">
      <c r="A108" s="8"/>
      <c r="B108" s="9">
        <v>107</v>
      </c>
      <c r="C108" s="37" t="s">
        <v>127</v>
      </c>
      <c r="D108" s="22" t="s">
        <v>16</v>
      </c>
      <c r="E108" s="10">
        <v>30</v>
      </c>
      <c r="F108" s="11" t="s">
        <v>103</v>
      </c>
      <c r="G108" s="11">
        <v>4</v>
      </c>
      <c r="H108" s="12">
        <v>0</v>
      </c>
      <c r="I108" s="12">
        <f>Report_2026_Q2[[#This Row],[withdrawls villa ]]*Report_2026_Q2[[#This Row],[cost by unit ]]</f>
        <v>0</v>
      </c>
      <c r="J108" s="12">
        <v>0</v>
      </c>
      <c r="K108" s="12">
        <f>Report_2026_Q2[[#This Row],[withdrawls IBN ]]*Report_2026_Q2[[#This Row],[cost by unit ]]</f>
        <v>0</v>
      </c>
      <c r="L108" s="13">
        <v>37</v>
      </c>
      <c r="M108" s="13">
        <f>Report_2026_Q2[[#This Row],[cost villa ]]+Report_2026_Q2[[#This Row],[IBN cost ]]</f>
        <v>0</v>
      </c>
      <c r="N108" s="12">
        <f>Report_2026_Q2[[#This Row],[3 monthes  ORDER ]]*Report_2026_Q2[[#This Row],[cost by unit ]]</f>
        <v>1110</v>
      </c>
      <c r="O108" s="5"/>
      <c r="P108" s="5"/>
      <c r="Q108" s="49">
        <f>Report_2026_Q2[[#This Row],[withdrawls villa ]]+Report_2026_Q2[[#This Row],[withdrawls IBN ]]</f>
        <v>0</v>
      </c>
      <c r="S108" s="49">
        <f>Report_2026_Q2[[#This Row],[3 monthes  ORDER ]]-Q108</f>
        <v>30</v>
      </c>
    </row>
    <row r="109" spans="1:19" s="6" customFormat="1" ht="15.6">
      <c r="A109" s="8"/>
      <c r="B109" s="9">
        <v>108</v>
      </c>
      <c r="C109" s="37" t="s">
        <v>128</v>
      </c>
      <c r="D109" s="22" t="s">
        <v>16</v>
      </c>
      <c r="E109" s="10">
        <v>15</v>
      </c>
      <c r="F109" s="11" t="s">
        <v>103</v>
      </c>
      <c r="G109" s="11">
        <v>4</v>
      </c>
      <c r="H109" s="12">
        <v>0</v>
      </c>
      <c r="I109" s="12">
        <f>Report_2026_Q2[[#This Row],[withdrawls villa ]]*Report_2026_Q2[[#This Row],[cost by unit ]]</f>
        <v>0</v>
      </c>
      <c r="J109" s="12">
        <v>0</v>
      </c>
      <c r="K109" s="12">
        <f>Report_2026_Q2[[#This Row],[withdrawls IBN ]]*Report_2026_Q2[[#This Row],[cost by unit ]]</f>
        <v>0</v>
      </c>
      <c r="L109" s="13">
        <v>37</v>
      </c>
      <c r="M109" s="13">
        <f>Report_2026_Q2[[#This Row],[cost villa ]]+Report_2026_Q2[[#This Row],[IBN cost ]]</f>
        <v>0</v>
      </c>
      <c r="N109" s="12">
        <f>Report_2026_Q2[[#This Row],[3 monthes  ORDER ]]*Report_2026_Q2[[#This Row],[cost by unit ]]</f>
        <v>555</v>
      </c>
      <c r="O109" s="5"/>
      <c r="P109" s="5"/>
      <c r="Q109" s="49">
        <f>Report_2026_Q2[[#This Row],[withdrawls villa ]]+Report_2026_Q2[[#This Row],[withdrawls IBN ]]</f>
        <v>0</v>
      </c>
      <c r="S109" s="49">
        <f>Report_2026_Q2[[#This Row],[3 monthes  ORDER ]]-Q109</f>
        <v>15</v>
      </c>
    </row>
    <row r="110" spans="1:19" s="6" customFormat="1" ht="15.6">
      <c r="A110" s="8"/>
      <c r="B110" s="9">
        <v>109</v>
      </c>
      <c r="C110" s="37" t="s">
        <v>129</v>
      </c>
      <c r="D110" s="32" t="s">
        <v>11</v>
      </c>
      <c r="E110" s="10">
        <v>5</v>
      </c>
      <c r="F110" s="11" t="s">
        <v>103</v>
      </c>
      <c r="G110" s="11">
        <v>33</v>
      </c>
      <c r="H110" s="12">
        <v>0</v>
      </c>
      <c r="I110" s="12">
        <f>Report_2026_Q2[[#This Row],[withdrawls villa ]]*Report_2026_Q2[[#This Row],[cost by unit ]]</f>
        <v>0</v>
      </c>
      <c r="J110" s="12">
        <v>0</v>
      </c>
      <c r="K110" s="12">
        <f>Report_2026_Q2[[#This Row],[withdrawls IBN ]]*Report_2026_Q2[[#This Row],[cost by unit ]]</f>
        <v>0</v>
      </c>
      <c r="L110" s="13">
        <v>2.5</v>
      </c>
      <c r="M110" s="13">
        <f>Report_2026_Q2[[#This Row],[cost villa ]]+Report_2026_Q2[[#This Row],[IBN cost ]]</f>
        <v>0</v>
      </c>
      <c r="N110" s="12">
        <f>Report_2026_Q2[[#This Row],[3 monthes  ORDER ]]*Report_2026_Q2[[#This Row],[cost by unit ]]</f>
        <v>12.5</v>
      </c>
      <c r="O110" s="5"/>
      <c r="P110" s="5"/>
      <c r="Q110" s="49">
        <f>Report_2026_Q2[[#This Row],[withdrawls villa ]]+Report_2026_Q2[[#This Row],[withdrawls IBN ]]</f>
        <v>0</v>
      </c>
      <c r="S110" s="49">
        <f>Report_2026_Q2[[#This Row],[3 monthes  ORDER ]]-Q110</f>
        <v>5</v>
      </c>
    </row>
    <row r="111" spans="1:19" s="6" customFormat="1" ht="15.6">
      <c r="A111" s="8"/>
      <c r="B111" s="9">
        <v>110</v>
      </c>
      <c r="C111" s="37" t="s">
        <v>130</v>
      </c>
      <c r="D111" s="32" t="s">
        <v>11</v>
      </c>
      <c r="E111" s="10">
        <v>5</v>
      </c>
      <c r="F111" s="11" t="s">
        <v>103</v>
      </c>
      <c r="G111" s="11">
        <v>0</v>
      </c>
      <c r="H111" s="12">
        <v>0</v>
      </c>
      <c r="I111" s="12">
        <f>Report_2026_Q2[[#This Row],[withdrawls villa ]]*Report_2026_Q2[[#This Row],[cost by unit ]]</f>
        <v>0</v>
      </c>
      <c r="J111" s="12">
        <v>0</v>
      </c>
      <c r="K111" s="12">
        <f>Report_2026_Q2[[#This Row],[withdrawls IBN ]]*Report_2026_Q2[[#This Row],[cost by unit ]]</f>
        <v>0</v>
      </c>
      <c r="L111" s="13">
        <v>0</v>
      </c>
      <c r="M111" s="13">
        <f>Report_2026_Q2[[#This Row],[cost villa ]]+Report_2026_Q2[[#This Row],[IBN cost ]]</f>
        <v>0</v>
      </c>
      <c r="N111" s="12">
        <f>Report_2026_Q2[[#This Row],[3 monthes  ORDER ]]*Report_2026_Q2[[#This Row],[cost by unit ]]</f>
        <v>0</v>
      </c>
      <c r="O111" s="5"/>
      <c r="P111" s="5"/>
      <c r="Q111" s="49">
        <f>Report_2026_Q2[[#This Row],[withdrawls villa ]]+Report_2026_Q2[[#This Row],[withdrawls IBN ]]</f>
        <v>0</v>
      </c>
      <c r="S111" s="49">
        <f>Report_2026_Q2[[#This Row],[3 monthes  ORDER ]]-Q111</f>
        <v>5</v>
      </c>
    </row>
    <row r="112" spans="1:19" s="6" customFormat="1" ht="15.6">
      <c r="A112" s="8"/>
      <c r="B112" s="9">
        <v>111</v>
      </c>
      <c r="C112" s="32" t="s">
        <v>131</v>
      </c>
      <c r="D112" s="22" t="s">
        <v>16</v>
      </c>
      <c r="E112" s="10">
        <v>50</v>
      </c>
      <c r="F112" s="11" t="s">
        <v>103</v>
      </c>
      <c r="G112" s="11">
        <v>5</v>
      </c>
      <c r="H112" s="12">
        <v>0</v>
      </c>
      <c r="I112" s="12">
        <f>Report_2026_Q2[[#This Row],[withdrawls villa ]]*Report_2026_Q2[[#This Row],[cost by unit ]]</f>
        <v>0</v>
      </c>
      <c r="J112" s="12">
        <v>0</v>
      </c>
      <c r="K112" s="12">
        <f>Report_2026_Q2[[#This Row],[withdrawls IBN ]]*Report_2026_Q2[[#This Row],[cost by unit ]]</f>
        <v>0</v>
      </c>
      <c r="L112" s="13">
        <v>69</v>
      </c>
      <c r="M112" s="13">
        <f>Report_2026_Q2[[#This Row],[cost villa ]]+Report_2026_Q2[[#This Row],[IBN cost ]]</f>
        <v>0</v>
      </c>
      <c r="N112" s="12">
        <f>Report_2026_Q2[[#This Row],[3 monthes  ORDER ]]*Report_2026_Q2[[#This Row],[cost by unit ]]</f>
        <v>3450</v>
      </c>
      <c r="O112" s="5"/>
      <c r="P112" s="5"/>
      <c r="Q112" s="49">
        <f>Report_2026_Q2[[#This Row],[withdrawls villa ]]+Report_2026_Q2[[#This Row],[withdrawls IBN ]]</f>
        <v>0</v>
      </c>
      <c r="S112" s="49">
        <f>Report_2026_Q2[[#This Row],[3 monthes  ORDER ]]-Q112</f>
        <v>50</v>
      </c>
    </row>
    <row r="113" spans="1:19" s="6" customFormat="1" ht="15.6">
      <c r="A113" s="8"/>
      <c r="B113" s="9">
        <v>112</v>
      </c>
      <c r="C113" s="32" t="s">
        <v>132</v>
      </c>
      <c r="D113" s="22" t="s">
        <v>16</v>
      </c>
      <c r="E113" s="10">
        <v>50</v>
      </c>
      <c r="F113" s="11" t="s">
        <v>103</v>
      </c>
      <c r="G113" s="11">
        <v>2</v>
      </c>
      <c r="H113" s="12">
        <v>0</v>
      </c>
      <c r="I113" s="12">
        <f>Report_2026_Q2[[#This Row],[withdrawls villa ]]*Report_2026_Q2[[#This Row],[cost by unit ]]</f>
        <v>0</v>
      </c>
      <c r="J113" s="12">
        <v>0</v>
      </c>
      <c r="K113" s="12">
        <f>Report_2026_Q2[[#This Row],[withdrawls IBN ]]*Report_2026_Q2[[#This Row],[cost by unit ]]</f>
        <v>0</v>
      </c>
      <c r="L113" s="13">
        <v>20</v>
      </c>
      <c r="M113" s="13">
        <f>Report_2026_Q2[[#This Row],[cost villa ]]+Report_2026_Q2[[#This Row],[IBN cost ]]</f>
        <v>0</v>
      </c>
      <c r="N113" s="12">
        <f>Report_2026_Q2[[#This Row],[3 monthes  ORDER ]]*Report_2026_Q2[[#This Row],[cost by unit ]]</f>
        <v>1000</v>
      </c>
      <c r="O113" s="5"/>
      <c r="P113" s="5"/>
      <c r="Q113" s="49">
        <f>Report_2026_Q2[[#This Row],[withdrawls villa ]]+Report_2026_Q2[[#This Row],[withdrawls IBN ]]</f>
        <v>0</v>
      </c>
      <c r="S113" s="49">
        <f>Report_2026_Q2[[#This Row],[3 monthes  ORDER ]]-Q113</f>
        <v>50</v>
      </c>
    </row>
    <row r="114" spans="1:19" s="6" customFormat="1" ht="15.6">
      <c r="A114" s="8"/>
      <c r="B114" s="9">
        <v>113</v>
      </c>
      <c r="C114" s="32" t="s">
        <v>133</v>
      </c>
      <c r="D114" s="32" t="s">
        <v>134</v>
      </c>
      <c r="E114" s="10">
        <v>10</v>
      </c>
      <c r="F114" s="11" t="s">
        <v>103</v>
      </c>
      <c r="G114" s="11">
        <v>0</v>
      </c>
      <c r="H114" s="12">
        <v>0</v>
      </c>
      <c r="I114" s="12">
        <f>Report_2026_Q2[[#This Row],[withdrawls villa ]]*Report_2026_Q2[[#This Row],[cost by unit ]]</f>
        <v>0</v>
      </c>
      <c r="J114" s="12">
        <v>0</v>
      </c>
      <c r="K114" s="12">
        <f>Report_2026_Q2[[#This Row],[withdrawls IBN ]]*Report_2026_Q2[[#This Row],[cost by unit ]]</f>
        <v>0</v>
      </c>
      <c r="L114" s="13">
        <v>34</v>
      </c>
      <c r="M114" s="13">
        <f>Report_2026_Q2[[#This Row],[cost villa ]]+Report_2026_Q2[[#This Row],[IBN cost ]]</f>
        <v>0</v>
      </c>
      <c r="N114" s="12">
        <f>Report_2026_Q2[[#This Row],[3 monthes  ORDER ]]*Report_2026_Q2[[#This Row],[cost by unit ]]</f>
        <v>340</v>
      </c>
      <c r="O114" s="5"/>
      <c r="P114" s="5"/>
      <c r="Q114" s="49">
        <f>Report_2026_Q2[[#This Row],[withdrawls villa ]]+Report_2026_Q2[[#This Row],[withdrawls IBN ]]</f>
        <v>0</v>
      </c>
      <c r="S114" s="49">
        <f>Report_2026_Q2[[#This Row],[3 monthes  ORDER ]]-Q114</f>
        <v>10</v>
      </c>
    </row>
    <row r="115" spans="1:19" s="2" customFormat="1" ht="15.6">
      <c r="A115" s="16"/>
      <c r="B115" s="58"/>
      <c r="C115" s="41"/>
      <c r="D115" s="17"/>
      <c r="E115" s="10">
        <v>10</v>
      </c>
      <c r="F115" s="18"/>
      <c r="G115" s="11"/>
      <c r="H115" s="12">
        <v>0</v>
      </c>
      <c r="I115" s="12">
        <f>Report_2026_Q2[[#This Row],[withdrawls villa ]]*Report_2026_Q2[[#This Row],[cost by unit ]]</f>
        <v>0</v>
      </c>
      <c r="J115" s="12">
        <v>0</v>
      </c>
      <c r="K115" s="12">
        <f>Report_2026_Q2[[#This Row],[withdrawls IBN ]]*Report_2026_Q2[[#This Row],[cost by unit ]]</f>
        <v>0</v>
      </c>
      <c r="L115" s="47"/>
      <c r="M115" s="48">
        <f>Report_2026_Q2[[#This Row],[cost villa ]]+Report_2026_Q2[[#This Row],[IBN cost ]]</f>
        <v>0</v>
      </c>
      <c r="N115" s="20">
        <f>Report_2026_Q2[[#This Row],[3 monthes  ORDER ]]*Report_2026_Q2[[#This Row],[cost by unit ]]</f>
        <v>0</v>
      </c>
      <c r="O115" s="1"/>
      <c r="P115" s="1"/>
      <c r="Q115" s="49"/>
    </row>
    <row r="116" spans="1:19" ht="15.6">
      <c r="A116" s="16"/>
      <c r="B116" s="58"/>
      <c r="C116" s="41"/>
      <c r="D116" s="17"/>
      <c r="E116" s="10">
        <v>30</v>
      </c>
      <c r="F116" s="18"/>
      <c r="G116" s="11"/>
      <c r="H116" s="12">
        <v>0</v>
      </c>
      <c r="I116" s="12">
        <f>Report_2026_Q2[[#This Row],[withdrawls villa ]]*Report_2026_Q2[[#This Row],[cost by unit ]]</f>
        <v>0</v>
      </c>
      <c r="J116" s="12">
        <v>0</v>
      </c>
      <c r="K116" s="12">
        <f>Report_2026_Q2[[#This Row],[withdrawls IBN ]]*Report_2026_Q2[[#This Row],[cost by unit ]]</f>
        <v>0</v>
      </c>
      <c r="L116" s="47"/>
      <c r="M116" s="48">
        <f>Report_2026_Q2[[#This Row],[cost villa ]]+Report_2026_Q2[[#This Row],[IBN cost ]]</f>
        <v>0</v>
      </c>
      <c r="N116" s="20">
        <f>Report_2026_Q2[[#This Row],[3 monthes  ORDER ]]*Report_2026_Q2[[#This Row],[cost by unit ]]</f>
        <v>0</v>
      </c>
    </row>
    <row r="117" spans="1:19" ht="20.95">
      <c r="A117" s="42"/>
      <c r="B117" s="42"/>
      <c r="C117" s="43"/>
      <c r="D117" s="44"/>
      <c r="E117" s="44"/>
      <c r="F117" s="44"/>
      <c r="G117" s="44"/>
      <c r="H117" s="44"/>
      <c r="I117" s="44">
        <f>SUM(Report_2026_Q2[[cost villa ]])</f>
        <v>14670.859999999999</v>
      </c>
      <c r="J117" s="44"/>
      <c r="K117" s="44">
        <f>SUM(Report_2026_Q2[[IBN cost ]])</f>
        <v>9879.75</v>
      </c>
      <c r="L117" s="44"/>
      <c r="M117" s="45">
        <f>SUM(Report_2026_Q2[[total cost of stocks ]])</f>
        <v>24550.61</v>
      </c>
      <c r="N117" s="45">
        <f>SUM(Report_2026_Q2[[totall cost of needed stck ]])</f>
        <v>61868.515000000007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F25D-A3E7-44C1-ABB5-6C78220AE340}">
  <dimension ref="A1"/>
  <sheetViews>
    <sheetView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querter before dic </vt:lpstr>
      <vt:lpstr>report 15 DEC TO 14 MAR 2026   </vt:lpstr>
      <vt:lpstr>15 MAR-15 JULY 2026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Badreldin  Ahmed Hussein</dc:creator>
  <cp:lastModifiedBy>SALMAN</cp:lastModifiedBy>
  <dcterms:created xsi:type="dcterms:W3CDTF">2015-06-05T18:17:20Z</dcterms:created>
  <dcterms:modified xsi:type="dcterms:W3CDTF">2026-04-19T04:50:42Z</dcterms:modified>
</cp:coreProperties>
</file>